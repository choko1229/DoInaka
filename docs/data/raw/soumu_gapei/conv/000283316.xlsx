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県順" sheetId="1" state="visible" r:id="rId3"/>
    <sheet name="減少率順" sheetId="2" state="visible" r:id="rId4"/>
  </sheets>
  <definedNames>
    <definedName function="false" hidden="false" localSheetId="1" name="_xlnm.Print_Area" vbProcedure="false">減少率順!$A$1:$K$54</definedName>
    <definedName function="false" hidden="false" localSheetId="0" name="_xlnm.Print_Area" vbProcedure="false">県順!$A$1:$K$54</definedName>
    <definedName function="false" hidden="false" name="_xlfn_BAHTTEXT" vbProcedure="false"/>
    <definedName function="false" hidden="false" localSheetId="0" name="Excel_BuiltIn__FilterDatabase" vbProcedure="false">県順!$A$5:$K$51</definedName>
    <definedName function="false" hidden="false" localSheetId="1" name="Excel_BuiltIn__FilterDatabase" vbProcedure="false">減少率順!$A$5:$K$51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<sst xmlns="http://schemas.openxmlformats.org/spreadsheetml/2006/main" count="122" uniqueCount="57">
  <si>
    <t xml:space="preserve">都道府県別合併の進捗状況</t>
  </si>
  <si>
    <t xml:space="preserve">都道府県名</t>
  </si>
  <si>
    <r>
      <rPr>
        <sz val="11"/>
        <rFont val="ＭＳ Ｐゴシック"/>
        <family val="3"/>
        <charset val="128"/>
      </rPr>
      <t xml:space="preserve">H11.3.31</t>
    </r>
    <r>
      <rPr>
        <sz val="11"/>
        <rFont val="Noto Sans CJK SC"/>
        <family val="2"/>
      </rPr>
      <t xml:space="preserve">の
市町村数</t>
    </r>
  </si>
  <si>
    <r>
      <rPr>
        <sz val="11"/>
        <rFont val="ＭＳ Ｐゴシック"/>
        <family val="3"/>
        <charset val="128"/>
      </rPr>
      <t xml:space="preserve">H26.4.5</t>
    </r>
    <r>
      <rPr>
        <sz val="11"/>
        <rFont val="Noto Sans CJK SC"/>
        <family val="2"/>
      </rPr>
      <t xml:space="preserve">の
市町村数</t>
    </r>
  </si>
  <si>
    <t xml:space="preserve">減少率</t>
  </si>
  <si>
    <t xml:space="preserve">内訳</t>
  </si>
  <si>
    <t xml:space="preserve">市</t>
  </si>
  <si>
    <t xml:space="preserve">町</t>
  </si>
  <si>
    <t xml:space="preserve">村</t>
  </si>
  <si>
    <t xml:space="preserve">北海道</t>
  </si>
  <si>
    <t xml:space="preserve">青森県</t>
  </si>
  <si>
    <t xml:space="preserve">岩手県</t>
  </si>
  <si>
    <t xml:space="preserve">宮城県</t>
  </si>
  <si>
    <t xml:space="preserve">秋田県</t>
  </si>
  <si>
    <t xml:space="preserve">山形県</t>
  </si>
  <si>
    <t xml:space="preserve">福島県</t>
  </si>
  <si>
    <t xml:space="preserve">茨城県</t>
  </si>
  <si>
    <t xml:space="preserve">栃木県</t>
  </si>
  <si>
    <t xml:space="preserve">群馬県</t>
  </si>
  <si>
    <t xml:space="preserve">埼玉県</t>
  </si>
  <si>
    <t xml:space="preserve">千葉県</t>
  </si>
  <si>
    <t xml:space="preserve">東京都</t>
  </si>
  <si>
    <t xml:space="preserve">神奈川県</t>
  </si>
  <si>
    <t xml:space="preserve">新潟県</t>
  </si>
  <si>
    <t xml:space="preserve">富山県</t>
  </si>
  <si>
    <t xml:space="preserve">石川県</t>
  </si>
  <si>
    <t xml:space="preserve">福井県</t>
  </si>
  <si>
    <t xml:space="preserve">山梨県</t>
  </si>
  <si>
    <t xml:space="preserve">長野県</t>
  </si>
  <si>
    <t xml:space="preserve">岐阜県</t>
  </si>
  <si>
    <t xml:space="preserve">静岡県</t>
  </si>
  <si>
    <t xml:space="preserve">愛知県</t>
  </si>
  <si>
    <t xml:space="preserve">三重県</t>
  </si>
  <si>
    <t xml:space="preserve">滋賀県</t>
  </si>
  <si>
    <t xml:space="preserve">京都府</t>
  </si>
  <si>
    <t xml:space="preserve">大阪府</t>
  </si>
  <si>
    <t xml:space="preserve">兵庫県</t>
  </si>
  <si>
    <t xml:space="preserve">奈良県</t>
  </si>
  <si>
    <t xml:space="preserve">和歌山県</t>
  </si>
  <si>
    <t xml:space="preserve">鳥取県</t>
  </si>
  <si>
    <t xml:space="preserve">島根県</t>
  </si>
  <si>
    <t xml:space="preserve">岡山県</t>
  </si>
  <si>
    <t xml:space="preserve">広島県</t>
  </si>
  <si>
    <t xml:space="preserve">山口県</t>
  </si>
  <si>
    <t xml:space="preserve">徳島県</t>
  </si>
  <si>
    <t xml:space="preserve">香川県</t>
  </si>
  <si>
    <t xml:space="preserve">愛媛県</t>
  </si>
  <si>
    <t xml:space="preserve">高知県</t>
  </si>
  <si>
    <t xml:space="preserve">福岡県</t>
  </si>
  <si>
    <t xml:space="preserve">佐賀県</t>
  </si>
  <si>
    <t xml:space="preserve">長崎県</t>
  </si>
  <si>
    <t xml:space="preserve">熊本県</t>
  </si>
  <si>
    <t xml:space="preserve">大分県</t>
  </si>
  <si>
    <t xml:space="preserve">宮崎県</t>
  </si>
  <si>
    <t xml:space="preserve">鹿児島県</t>
  </si>
  <si>
    <t xml:space="preserve">沖縄県</t>
  </si>
  <si>
    <t xml:space="preserve">※　みよし市、野々市市、長久手市、白岡市、大網白里市、滝沢市の単独市制施行を含む。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</si>
</sst>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#,##0"/>
    <numFmt numFmtId="166" formatCode="0.0%"/>
    <numFmt numFmtId="167" formatCode="[$-409]#,##0_);[RED]\(#,##0\)"/>
  </numFmts>
  <fonts count="12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Noto Sans CJK SC"/>
      <family val="2"/>
    </font>
    <font>
      <sz val="11"/>
      <name val="Noto Sans CJK SC"/>
      <family val="2"/>
    </font>
    <font>
      <b val="true"/>
      <sz val="24"/>
      <name val="ＭＳ Ｐゴシック"/>
      <family val="3"/>
      <charset val="128"/>
    </font>
    <font>
      <sz val="8"/>
      <name val="Noto Sans CJK SC"/>
      <family val="2"/>
    </font>
    <font>
      <sz val="14"/>
      <name val="ＭＳ Ｐゴシック"/>
      <family val="3"/>
      <charset val="128"/>
    </font>
    <font>
      <sz val="14"/>
      <name val="Noto Sans CJK SC"/>
      <family val="2"/>
    </font>
    <font>
      <sz val="11"/>
      <color rgb="FF000000"/>
      <name val="ＭＳ Ｐゴシック"/>
      <family val="3"/>
      <charset val="128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3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2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1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8" fillId="0" borderId="1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1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1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8" fillId="0" borderId="1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2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2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2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2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2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8" fillId="0" borderId="2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26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26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7" fontId="8" fillId="0" borderId="27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2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2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2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2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8" fillId="0" borderId="2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3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3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3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3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8" fillId="0" borderId="3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1201法定協各県別設置状況（合併２２５）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A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3.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1.37"/>
    <col collapsed="false" customWidth="true" hidden="false" outlineLevel="0" max="3" min="3" style="1" width="10.12"/>
    <col collapsed="false" customWidth="true" hidden="false" outlineLevel="0" max="6" min="4" style="1" width="6.37"/>
    <col collapsed="false" customWidth="true" hidden="false" outlineLevel="0" max="7" min="7" style="1" width="10.87"/>
    <col collapsed="false" customWidth="true" hidden="false" outlineLevel="0" max="10" min="8" style="1" width="6.37"/>
    <col collapsed="false" customWidth="true" hidden="false" outlineLevel="0" max="11" min="11" style="1" width="9.62"/>
    <col collapsed="false" customWidth="true" hidden="false" outlineLevel="0" max="12" min="12" style="1" width="4.62"/>
    <col collapsed="false" customWidth="true" hidden="false" outlineLevel="0" max="13" min="13" style="1" width="5.62"/>
    <col collapsed="false" customWidth="true" hidden="false" outlineLevel="0" max="14" min="14" style="1" width="4.62"/>
    <col collapsed="false" customWidth="true" hidden="false" outlineLevel="0" max="16" min="15" style="1" width="5.62"/>
    <col collapsed="false" customWidth="true" hidden="false" outlineLevel="0" max="17" min="17" style="1" width="4.62"/>
    <col collapsed="false" customWidth="true" hidden="false" outlineLevel="0" max="19" min="18" style="1" width="5.62"/>
    <col collapsed="false" customWidth="true" hidden="false" outlineLevel="0" max="20" min="20" style="1" width="4.62"/>
    <col collapsed="false" customWidth="true" hidden="false" outlineLevel="0" max="22" min="21" style="1" width="5.62"/>
    <col collapsed="false" customWidth="true" hidden="false" outlineLevel="0" max="23" min="23" style="1" width="4.62"/>
    <col collapsed="false" customWidth="true" hidden="false" outlineLevel="0" max="25" min="24" style="1" width="5.62"/>
    <col collapsed="false" customWidth="true" hidden="false" outlineLevel="0" max="26" min="26" style="1" width="4.62"/>
    <col collapsed="false" customWidth="true" hidden="false" outlineLevel="0" max="28" min="27" style="1" width="5.62"/>
    <col collapsed="false" customWidth="true" hidden="false" outlineLevel="0" max="29" min="29" style="1" width="4.62"/>
    <col collapsed="false" customWidth="true" hidden="false" outlineLevel="0" max="44" min="30" style="1" width="5.62"/>
    <col collapsed="false" customWidth="false" hidden="false" outlineLevel="0" max="257" min="45" style="1" width="8.99"/>
  </cols>
  <sheetData>
    <row r="1" customFormat="false" ht="28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/>
      <c r="B2" s="4" t="s">
        <v>1</v>
      </c>
      <c r="C2" s="5" t="s">
        <v>2</v>
      </c>
      <c r="D2" s="6"/>
      <c r="E2" s="6"/>
      <c r="F2" s="7"/>
      <c r="G2" s="8" t="s">
        <v>3</v>
      </c>
      <c r="H2" s="6"/>
      <c r="I2" s="6"/>
      <c r="J2" s="7"/>
      <c r="K2" s="9" t="s">
        <v>4</v>
      </c>
      <c r="X2" s="10"/>
      <c r="Y2" s="10"/>
      <c r="Z2" s="10"/>
      <c r="AA2" s="10"/>
    </row>
    <row r="3" customFormat="false" ht="12" hidden="false" customHeight="true" outlineLevel="0" collapsed="false">
      <c r="A3" s="3"/>
      <c r="B3" s="4"/>
      <c r="C3" s="5"/>
      <c r="D3" s="11" t="s">
        <v>5</v>
      </c>
      <c r="E3" s="11"/>
      <c r="F3" s="11"/>
      <c r="G3" s="8"/>
      <c r="H3" s="11" t="s">
        <v>5</v>
      </c>
      <c r="I3" s="11"/>
      <c r="J3" s="11"/>
      <c r="K3" s="9"/>
      <c r="X3" s="10"/>
      <c r="Y3" s="10"/>
      <c r="Z3" s="10"/>
      <c r="AA3" s="10"/>
    </row>
    <row r="4" customFormat="false" ht="12.75" hidden="false" customHeight="true" outlineLevel="0" collapsed="false">
      <c r="A4" s="3"/>
      <c r="B4" s="4"/>
      <c r="C4" s="5"/>
      <c r="D4" s="12" t="s">
        <v>6</v>
      </c>
      <c r="E4" s="12" t="s">
        <v>7</v>
      </c>
      <c r="F4" s="13" t="s">
        <v>8</v>
      </c>
      <c r="G4" s="8"/>
      <c r="H4" s="12" t="s">
        <v>6</v>
      </c>
      <c r="I4" s="12" t="s">
        <v>7</v>
      </c>
      <c r="J4" s="13" t="s">
        <v>8</v>
      </c>
      <c r="K4" s="9"/>
    </row>
    <row r="5" customFormat="false" ht="17.25" hidden="false" customHeight="false" outlineLevel="0" collapsed="false">
      <c r="A5" s="14" t="n">
        <v>1</v>
      </c>
      <c r="B5" s="15" t="s">
        <v>9</v>
      </c>
      <c r="C5" s="16" t="n">
        <v>212</v>
      </c>
      <c r="D5" s="17" t="n">
        <v>34</v>
      </c>
      <c r="E5" s="17" t="n">
        <v>154</v>
      </c>
      <c r="F5" s="18" t="n">
        <v>24</v>
      </c>
      <c r="G5" s="19" t="n">
        <f aca="false">H5+I5+J5</f>
        <v>179</v>
      </c>
      <c r="H5" s="20" t="n">
        <v>35</v>
      </c>
      <c r="I5" s="20" t="n">
        <v>129</v>
      </c>
      <c r="J5" s="21" t="n">
        <v>15</v>
      </c>
      <c r="K5" s="22" t="n">
        <f aca="false">(C5-G5)/C5</f>
        <v>0.155660377358491</v>
      </c>
    </row>
    <row r="6" customFormat="false" ht="17.25" hidden="false" customHeight="false" outlineLevel="0" collapsed="false">
      <c r="A6" s="23" t="n">
        <v>2</v>
      </c>
      <c r="B6" s="24" t="s">
        <v>10</v>
      </c>
      <c r="C6" s="25" t="n">
        <v>67</v>
      </c>
      <c r="D6" s="26" t="n">
        <v>8</v>
      </c>
      <c r="E6" s="26" t="n">
        <v>34</v>
      </c>
      <c r="F6" s="27" t="n">
        <v>25</v>
      </c>
      <c r="G6" s="28" t="n">
        <f aca="false">H6+I6+J6</f>
        <v>40</v>
      </c>
      <c r="H6" s="29" t="n">
        <v>10</v>
      </c>
      <c r="I6" s="29" t="n">
        <v>22</v>
      </c>
      <c r="J6" s="30" t="n">
        <v>8</v>
      </c>
      <c r="K6" s="31" t="n">
        <f aca="false">(C6-G6)/C6</f>
        <v>0.402985074626866</v>
      </c>
    </row>
    <row r="7" customFormat="false" ht="17.25" hidden="false" customHeight="false" outlineLevel="0" collapsed="false">
      <c r="A7" s="23" t="n">
        <v>3</v>
      </c>
      <c r="B7" s="24" t="s">
        <v>11</v>
      </c>
      <c r="C7" s="25" t="n">
        <v>59</v>
      </c>
      <c r="D7" s="26" t="n">
        <v>13</v>
      </c>
      <c r="E7" s="26" t="n">
        <v>30</v>
      </c>
      <c r="F7" s="27" t="n">
        <v>16</v>
      </c>
      <c r="G7" s="28" t="n">
        <f aca="false">H7+I7+J7</f>
        <v>33</v>
      </c>
      <c r="H7" s="29" t="n">
        <v>14</v>
      </c>
      <c r="I7" s="29" t="n">
        <v>15</v>
      </c>
      <c r="J7" s="30" t="n">
        <v>4</v>
      </c>
      <c r="K7" s="31" t="n">
        <f aca="false">(C7-G7)/C7</f>
        <v>0.440677966101695</v>
      </c>
    </row>
    <row r="8" customFormat="false" ht="17.25" hidden="false" customHeight="false" outlineLevel="0" collapsed="false">
      <c r="A8" s="23" t="n">
        <v>4</v>
      </c>
      <c r="B8" s="24" t="s">
        <v>12</v>
      </c>
      <c r="C8" s="25" t="n">
        <v>71</v>
      </c>
      <c r="D8" s="26" t="n">
        <v>10</v>
      </c>
      <c r="E8" s="26" t="n">
        <v>59</v>
      </c>
      <c r="F8" s="27" t="n">
        <v>2</v>
      </c>
      <c r="G8" s="28" t="n">
        <f aca="false">H8+I8+J8</f>
        <v>35</v>
      </c>
      <c r="H8" s="29" t="n">
        <v>13</v>
      </c>
      <c r="I8" s="29" t="n">
        <v>21</v>
      </c>
      <c r="J8" s="30" t="n">
        <v>1</v>
      </c>
      <c r="K8" s="31" t="n">
        <f aca="false">(C8-G8)/C8</f>
        <v>0.507042253521127</v>
      </c>
    </row>
    <row r="9" customFormat="false" ht="17.25" hidden="false" customHeight="false" outlineLevel="0" collapsed="false">
      <c r="A9" s="23" t="n">
        <v>5</v>
      </c>
      <c r="B9" s="24" t="s">
        <v>13</v>
      </c>
      <c r="C9" s="25" t="n">
        <v>69</v>
      </c>
      <c r="D9" s="26" t="n">
        <v>9</v>
      </c>
      <c r="E9" s="26" t="n">
        <v>50</v>
      </c>
      <c r="F9" s="27" t="n">
        <v>10</v>
      </c>
      <c r="G9" s="28" t="n">
        <f aca="false">H9+I9+J9</f>
        <v>25</v>
      </c>
      <c r="H9" s="29" t="n">
        <v>13</v>
      </c>
      <c r="I9" s="29" t="n">
        <v>9</v>
      </c>
      <c r="J9" s="30" t="n">
        <v>3</v>
      </c>
      <c r="K9" s="31" t="n">
        <f aca="false">(C9-G9)/C9</f>
        <v>0.63768115942029</v>
      </c>
    </row>
    <row r="10" customFormat="false" ht="17.25" hidden="false" customHeight="false" outlineLevel="0" collapsed="false">
      <c r="A10" s="23" t="n">
        <v>6</v>
      </c>
      <c r="B10" s="24" t="s">
        <v>14</v>
      </c>
      <c r="C10" s="25" t="n">
        <v>44</v>
      </c>
      <c r="D10" s="26" t="n">
        <v>13</v>
      </c>
      <c r="E10" s="26" t="n">
        <v>27</v>
      </c>
      <c r="F10" s="27" t="n">
        <v>4</v>
      </c>
      <c r="G10" s="28" t="n">
        <f aca="false">H10+I10+J10</f>
        <v>35</v>
      </c>
      <c r="H10" s="29" t="n">
        <v>13</v>
      </c>
      <c r="I10" s="29" t="n">
        <v>19</v>
      </c>
      <c r="J10" s="30" t="n">
        <v>3</v>
      </c>
      <c r="K10" s="31" t="n">
        <f aca="false">(C10-G10)/C10</f>
        <v>0.204545454545455</v>
      </c>
    </row>
    <row r="11" customFormat="false" ht="17.25" hidden="false" customHeight="false" outlineLevel="0" collapsed="false">
      <c r="A11" s="23" t="n">
        <v>7</v>
      </c>
      <c r="B11" s="24" t="s">
        <v>15</v>
      </c>
      <c r="C11" s="25" t="n">
        <v>90</v>
      </c>
      <c r="D11" s="26" t="n">
        <v>10</v>
      </c>
      <c r="E11" s="26" t="n">
        <v>52</v>
      </c>
      <c r="F11" s="27" t="n">
        <v>28</v>
      </c>
      <c r="G11" s="28" t="n">
        <f aca="false">H11+I11+J11</f>
        <v>59</v>
      </c>
      <c r="H11" s="29" t="n">
        <v>13</v>
      </c>
      <c r="I11" s="29" t="n">
        <v>31</v>
      </c>
      <c r="J11" s="30" t="n">
        <v>15</v>
      </c>
      <c r="K11" s="31" t="n">
        <f aca="false">(C11-G11)/C11</f>
        <v>0.344444444444444</v>
      </c>
    </row>
    <row r="12" customFormat="false" ht="17.25" hidden="false" customHeight="false" outlineLevel="0" collapsed="false">
      <c r="A12" s="23" t="n">
        <v>8</v>
      </c>
      <c r="B12" s="24" t="s">
        <v>16</v>
      </c>
      <c r="C12" s="25" t="n">
        <v>85</v>
      </c>
      <c r="D12" s="26" t="n">
        <v>20</v>
      </c>
      <c r="E12" s="26" t="n">
        <v>48</v>
      </c>
      <c r="F12" s="27" t="n">
        <v>17</v>
      </c>
      <c r="G12" s="28" t="n">
        <f aca="false">H12+I12+J12</f>
        <v>44</v>
      </c>
      <c r="H12" s="29" t="n">
        <v>32</v>
      </c>
      <c r="I12" s="29" t="n">
        <v>10</v>
      </c>
      <c r="J12" s="30" t="n">
        <v>2</v>
      </c>
      <c r="K12" s="31" t="n">
        <f aca="false">(C12-G12)/C12</f>
        <v>0.482352941176471</v>
      </c>
    </row>
    <row r="13" customFormat="false" ht="17.25" hidden="false" customHeight="false" outlineLevel="0" collapsed="false">
      <c r="A13" s="23" t="n">
        <v>9</v>
      </c>
      <c r="B13" s="24" t="s">
        <v>17</v>
      </c>
      <c r="C13" s="25" t="n">
        <v>49</v>
      </c>
      <c r="D13" s="26" t="n">
        <v>12</v>
      </c>
      <c r="E13" s="26" t="n">
        <v>35</v>
      </c>
      <c r="F13" s="27" t="n">
        <v>2</v>
      </c>
      <c r="G13" s="28" t="n">
        <f aca="false">H13+I13+J13</f>
        <v>25</v>
      </c>
      <c r="H13" s="29" t="n">
        <v>14</v>
      </c>
      <c r="I13" s="29" t="n">
        <v>11</v>
      </c>
      <c r="J13" s="30" t="n">
        <v>0</v>
      </c>
      <c r="K13" s="31" t="n">
        <f aca="false">(C13-G13)/C13</f>
        <v>0.489795918367347</v>
      </c>
    </row>
    <row r="14" customFormat="false" ht="17.25" hidden="false" customHeight="false" outlineLevel="0" collapsed="false">
      <c r="A14" s="23" t="n">
        <v>10</v>
      </c>
      <c r="B14" s="24" t="s">
        <v>18</v>
      </c>
      <c r="C14" s="25" t="n">
        <v>70</v>
      </c>
      <c r="D14" s="26" t="n">
        <v>11</v>
      </c>
      <c r="E14" s="26" t="n">
        <v>33</v>
      </c>
      <c r="F14" s="27" t="n">
        <v>26</v>
      </c>
      <c r="G14" s="28" t="n">
        <f aca="false">H14+I14+J14</f>
        <v>35</v>
      </c>
      <c r="H14" s="29" t="n">
        <v>12</v>
      </c>
      <c r="I14" s="29" t="n">
        <v>15</v>
      </c>
      <c r="J14" s="30" t="n">
        <v>8</v>
      </c>
      <c r="K14" s="31" t="n">
        <f aca="false">(C14-G14)/C14</f>
        <v>0.5</v>
      </c>
    </row>
    <row r="15" customFormat="false" ht="17.25" hidden="false" customHeight="false" outlineLevel="0" collapsed="false">
      <c r="A15" s="23" t="n">
        <v>11</v>
      </c>
      <c r="B15" s="24" t="s">
        <v>19</v>
      </c>
      <c r="C15" s="25" t="n">
        <v>92</v>
      </c>
      <c r="D15" s="26" t="n">
        <v>43</v>
      </c>
      <c r="E15" s="26" t="n">
        <v>38</v>
      </c>
      <c r="F15" s="27" t="n">
        <v>11</v>
      </c>
      <c r="G15" s="28" t="n">
        <f aca="false">H15+I15+J15</f>
        <v>63</v>
      </c>
      <c r="H15" s="29" t="n">
        <v>40</v>
      </c>
      <c r="I15" s="29" t="n">
        <v>22</v>
      </c>
      <c r="J15" s="30" t="n">
        <v>1</v>
      </c>
      <c r="K15" s="31" t="n">
        <f aca="false">(C15-G15)/C15</f>
        <v>0.315217391304348</v>
      </c>
    </row>
    <row r="16" customFormat="false" ht="17.25" hidden="false" customHeight="false" outlineLevel="0" collapsed="false">
      <c r="A16" s="23" t="n">
        <v>12</v>
      </c>
      <c r="B16" s="24" t="s">
        <v>20</v>
      </c>
      <c r="C16" s="25" t="n">
        <v>80</v>
      </c>
      <c r="D16" s="26" t="n">
        <v>31</v>
      </c>
      <c r="E16" s="26" t="n">
        <v>44</v>
      </c>
      <c r="F16" s="27" t="n">
        <v>5</v>
      </c>
      <c r="G16" s="28" t="n">
        <f aca="false">H16+I16+J16</f>
        <v>54</v>
      </c>
      <c r="H16" s="29" t="n">
        <v>37</v>
      </c>
      <c r="I16" s="29" t="n">
        <v>16</v>
      </c>
      <c r="J16" s="30" t="n">
        <v>1</v>
      </c>
      <c r="K16" s="31" t="n">
        <f aca="false">(C16-G16)/C16</f>
        <v>0.325</v>
      </c>
    </row>
    <row r="17" customFormat="false" ht="17.25" hidden="false" customHeight="false" outlineLevel="0" collapsed="false">
      <c r="A17" s="23" t="n">
        <v>13</v>
      </c>
      <c r="B17" s="24" t="s">
        <v>21</v>
      </c>
      <c r="C17" s="25" t="n">
        <v>40</v>
      </c>
      <c r="D17" s="26" t="n">
        <v>27</v>
      </c>
      <c r="E17" s="26" t="n">
        <v>5</v>
      </c>
      <c r="F17" s="27" t="n">
        <v>8</v>
      </c>
      <c r="G17" s="28" t="n">
        <f aca="false">H17+I17+J17</f>
        <v>39</v>
      </c>
      <c r="H17" s="29" t="n">
        <v>26</v>
      </c>
      <c r="I17" s="29" t="n">
        <v>5</v>
      </c>
      <c r="J17" s="30" t="n">
        <v>8</v>
      </c>
      <c r="K17" s="31" t="n">
        <f aca="false">(C17-G17)/C17</f>
        <v>0.025</v>
      </c>
    </row>
    <row r="18" customFormat="false" ht="17.25" hidden="false" customHeight="false" outlineLevel="0" collapsed="false">
      <c r="A18" s="23" t="n">
        <v>14</v>
      </c>
      <c r="B18" s="24" t="s">
        <v>22</v>
      </c>
      <c r="C18" s="25" t="n">
        <v>37</v>
      </c>
      <c r="D18" s="26" t="n">
        <v>19</v>
      </c>
      <c r="E18" s="26" t="n">
        <v>17</v>
      </c>
      <c r="F18" s="27" t="n">
        <v>1</v>
      </c>
      <c r="G18" s="28" t="n">
        <f aca="false">H18+I18+J18</f>
        <v>33</v>
      </c>
      <c r="H18" s="29" t="n">
        <v>19</v>
      </c>
      <c r="I18" s="29" t="n">
        <v>13</v>
      </c>
      <c r="J18" s="30" t="n">
        <v>1</v>
      </c>
      <c r="K18" s="31" t="n">
        <f aca="false">(C18-G18)/C18</f>
        <v>0.108108108108108</v>
      </c>
    </row>
    <row r="19" customFormat="false" ht="17.25" hidden="false" customHeight="false" outlineLevel="0" collapsed="false">
      <c r="A19" s="23" t="n">
        <v>15</v>
      </c>
      <c r="B19" s="24" t="s">
        <v>23</v>
      </c>
      <c r="C19" s="25" t="n">
        <v>112</v>
      </c>
      <c r="D19" s="26" t="n">
        <v>20</v>
      </c>
      <c r="E19" s="26" t="n">
        <v>57</v>
      </c>
      <c r="F19" s="27" t="n">
        <v>35</v>
      </c>
      <c r="G19" s="28" t="n">
        <f aca="false">H19+I19+J19</f>
        <v>30</v>
      </c>
      <c r="H19" s="29" t="n">
        <v>20</v>
      </c>
      <c r="I19" s="29" t="n">
        <v>6</v>
      </c>
      <c r="J19" s="30" t="n">
        <v>4</v>
      </c>
      <c r="K19" s="31" t="n">
        <f aca="false">(C19-G19)/C19</f>
        <v>0.732142857142857</v>
      </c>
    </row>
    <row r="20" customFormat="false" ht="17.25" hidden="false" customHeight="false" outlineLevel="0" collapsed="false">
      <c r="A20" s="23" t="n">
        <v>16</v>
      </c>
      <c r="B20" s="24" t="s">
        <v>24</v>
      </c>
      <c r="C20" s="25" t="n">
        <v>35</v>
      </c>
      <c r="D20" s="26" t="n">
        <v>9</v>
      </c>
      <c r="E20" s="26" t="n">
        <v>18</v>
      </c>
      <c r="F20" s="27" t="n">
        <v>8</v>
      </c>
      <c r="G20" s="28" t="n">
        <f aca="false">H20+I20+J20</f>
        <v>15</v>
      </c>
      <c r="H20" s="29" t="n">
        <v>10</v>
      </c>
      <c r="I20" s="29" t="n">
        <v>4</v>
      </c>
      <c r="J20" s="30" t="n">
        <v>1</v>
      </c>
      <c r="K20" s="31" t="n">
        <f aca="false">(C20-G20)/C20</f>
        <v>0.571428571428571</v>
      </c>
    </row>
    <row r="21" customFormat="false" ht="17.25" hidden="false" customHeight="false" outlineLevel="0" collapsed="false">
      <c r="A21" s="23" t="n">
        <v>17</v>
      </c>
      <c r="B21" s="24" t="s">
        <v>25</v>
      </c>
      <c r="C21" s="25" t="n">
        <v>41</v>
      </c>
      <c r="D21" s="26" t="n">
        <v>8</v>
      </c>
      <c r="E21" s="26" t="n">
        <v>27</v>
      </c>
      <c r="F21" s="27" t="n">
        <v>6</v>
      </c>
      <c r="G21" s="28" t="n">
        <f aca="false">H21+I21+J21</f>
        <v>19</v>
      </c>
      <c r="H21" s="29" t="n">
        <v>11</v>
      </c>
      <c r="I21" s="29" t="n">
        <v>8</v>
      </c>
      <c r="J21" s="30" t="n">
        <v>0</v>
      </c>
      <c r="K21" s="31" t="n">
        <f aca="false">(C21-G21)/C21</f>
        <v>0.536585365853659</v>
      </c>
    </row>
    <row r="22" customFormat="false" ht="17.25" hidden="false" customHeight="false" outlineLevel="0" collapsed="false">
      <c r="A22" s="23" t="n">
        <v>18</v>
      </c>
      <c r="B22" s="24" t="s">
        <v>26</v>
      </c>
      <c r="C22" s="25" t="n">
        <v>35</v>
      </c>
      <c r="D22" s="26" t="n">
        <v>7</v>
      </c>
      <c r="E22" s="26" t="n">
        <v>22</v>
      </c>
      <c r="F22" s="27" t="n">
        <v>6</v>
      </c>
      <c r="G22" s="28" t="n">
        <f aca="false">H22+I22+J22</f>
        <v>17</v>
      </c>
      <c r="H22" s="29" t="n">
        <v>9</v>
      </c>
      <c r="I22" s="29" t="n">
        <v>8</v>
      </c>
      <c r="J22" s="30" t="n">
        <v>0</v>
      </c>
      <c r="K22" s="31" t="n">
        <f aca="false">(C22-G22)/C22</f>
        <v>0.514285714285714</v>
      </c>
    </row>
    <row r="23" customFormat="false" ht="17.25" hidden="false" customHeight="false" outlineLevel="0" collapsed="false">
      <c r="A23" s="23" t="n">
        <v>19</v>
      </c>
      <c r="B23" s="24" t="s">
        <v>27</v>
      </c>
      <c r="C23" s="25" t="n">
        <v>64</v>
      </c>
      <c r="D23" s="26" t="n">
        <v>7</v>
      </c>
      <c r="E23" s="26" t="n">
        <v>37</v>
      </c>
      <c r="F23" s="27" t="n">
        <v>20</v>
      </c>
      <c r="G23" s="28" t="n">
        <f aca="false">H23+I23+J23</f>
        <v>27</v>
      </c>
      <c r="H23" s="29" t="n">
        <v>13</v>
      </c>
      <c r="I23" s="29" t="n">
        <v>8</v>
      </c>
      <c r="J23" s="30" t="n">
        <v>6</v>
      </c>
      <c r="K23" s="31" t="n">
        <f aca="false">(C23-G23)/C23</f>
        <v>0.578125</v>
      </c>
    </row>
    <row r="24" customFormat="false" ht="17.25" hidden="false" customHeight="false" outlineLevel="0" collapsed="false">
      <c r="A24" s="23" t="n">
        <v>20</v>
      </c>
      <c r="B24" s="24" t="s">
        <v>28</v>
      </c>
      <c r="C24" s="25" t="n">
        <v>120</v>
      </c>
      <c r="D24" s="26" t="n">
        <v>17</v>
      </c>
      <c r="E24" s="26" t="n">
        <v>36</v>
      </c>
      <c r="F24" s="27" t="n">
        <v>67</v>
      </c>
      <c r="G24" s="28" t="n">
        <f aca="false">H24+I24+J24</f>
        <v>77</v>
      </c>
      <c r="H24" s="29" t="n">
        <v>19</v>
      </c>
      <c r="I24" s="29" t="n">
        <v>23</v>
      </c>
      <c r="J24" s="30" t="n">
        <v>35</v>
      </c>
      <c r="K24" s="31" t="n">
        <f aca="false">(C24-G24)/C24</f>
        <v>0.358333333333333</v>
      </c>
    </row>
    <row r="25" customFormat="false" ht="17.25" hidden="false" customHeight="false" outlineLevel="0" collapsed="false">
      <c r="A25" s="23" t="n">
        <v>21</v>
      </c>
      <c r="B25" s="24" t="s">
        <v>29</v>
      </c>
      <c r="C25" s="25" t="n">
        <v>99</v>
      </c>
      <c r="D25" s="26" t="n">
        <v>14</v>
      </c>
      <c r="E25" s="26" t="n">
        <v>55</v>
      </c>
      <c r="F25" s="27" t="n">
        <v>30</v>
      </c>
      <c r="G25" s="28" t="n">
        <f aca="false">H25+I25+J25</f>
        <v>42</v>
      </c>
      <c r="H25" s="29" t="n">
        <v>21</v>
      </c>
      <c r="I25" s="29" t="n">
        <v>19</v>
      </c>
      <c r="J25" s="30" t="n">
        <v>2</v>
      </c>
      <c r="K25" s="31" t="n">
        <f aca="false">(C25-G25)/C25</f>
        <v>0.575757575757576</v>
      </c>
    </row>
    <row r="26" customFormat="false" ht="17.25" hidden="false" customHeight="false" outlineLevel="0" collapsed="false">
      <c r="A26" s="23" t="n">
        <v>22</v>
      </c>
      <c r="B26" s="24" t="s">
        <v>30</v>
      </c>
      <c r="C26" s="25" t="n">
        <v>74</v>
      </c>
      <c r="D26" s="26" t="n">
        <v>21</v>
      </c>
      <c r="E26" s="26" t="n">
        <v>49</v>
      </c>
      <c r="F26" s="27" t="n">
        <v>4</v>
      </c>
      <c r="G26" s="28" t="n">
        <f aca="false">H26+I26+J26</f>
        <v>35</v>
      </c>
      <c r="H26" s="29" t="n">
        <v>23</v>
      </c>
      <c r="I26" s="29" t="n">
        <v>12</v>
      </c>
      <c r="J26" s="30" t="n">
        <v>0</v>
      </c>
      <c r="K26" s="31" t="n">
        <f aca="false">(C26-G26)/C26</f>
        <v>0.527027027027027</v>
      </c>
    </row>
    <row r="27" customFormat="false" ht="17.25" hidden="false" customHeight="false" outlineLevel="0" collapsed="false">
      <c r="A27" s="23" t="n">
        <v>23</v>
      </c>
      <c r="B27" s="24" t="s">
        <v>31</v>
      </c>
      <c r="C27" s="25" t="n">
        <v>88</v>
      </c>
      <c r="D27" s="26" t="n">
        <v>31</v>
      </c>
      <c r="E27" s="26" t="n">
        <v>47</v>
      </c>
      <c r="F27" s="27" t="n">
        <v>10</v>
      </c>
      <c r="G27" s="28" t="n">
        <f aca="false">H27+I27+J27</f>
        <v>54</v>
      </c>
      <c r="H27" s="29" t="n">
        <v>38</v>
      </c>
      <c r="I27" s="29" t="n">
        <v>14</v>
      </c>
      <c r="J27" s="30" t="n">
        <v>2</v>
      </c>
      <c r="K27" s="31" t="n">
        <f aca="false">(C27-G27)/C27</f>
        <v>0.386363636363636</v>
      </c>
    </row>
    <row r="28" customFormat="false" ht="17.25" hidden="false" customHeight="false" outlineLevel="0" collapsed="false">
      <c r="A28" s="23" t="n">
        <v>24</v>
      </c>
      <c r="B28" s="24" t="s">
        <v>32</v>
      </c>
      <c r="C28" s="25" t="n">
        <v>69</v>
      </c>
      <c r="D28" s="26" t="n">
        <v>13</v>
      </c>
      <c r="E28" s="26" t="n">
        <v>47</v>
      </c>
      <c r="F28" s="27" t="n">
        <v>9</v>
      </c>
      <c r="G28" s="28" t="n">
        <f aca="false">H28+I28+J28</f>
        <v>29</v>
      </c>
      <c r="H28" s="29" t="n">
        <v>14</v>
      </c>
      <c r="I28" s="29" t="n">
        <v>15</v>
      </c>
      <c r="J28" s="30" t="n">
        <v>0</v>
      </c>
      <c r="K28" s="31" t="n">
        <f aca="false">(C28-G28)/C28</f>
        <v>0.579710144927536</v>
      </c>
    </row>
    <row r="29" customFormat="false" ht="17.25" hidden="false" customHeight="false" outlineLevel="0" collapsed="false">
      <c r="A29" s="23" t="n">
        <v>25</v>
      </c>
      <c r="B29" s="24" t="s">
        <v>33</v>
      </c>
      <c r="C29" s="25" t="n">
        <v>50</v>
      </c>
      <c r="D29" s="26" t="n">
        <v>7</v>
      </c>
      <c r="E29" s="26" t="n">
        <v>42</v>
      </c>
      <c r="F29" s="27" t="n">
        <v>1</v>
      </c>
      <c r="G29" s="28" t="n">
        <f aca="false">H29+I29+J29</f>
        <v>19</v>
      </c>
      <c r="H29" s="29" t="n">
        <v>13</v>
      </c>
      <c r="I29" s="29" t="n">
        <v>6</v>
      </c>
      <c r="J29" s="30" t="n">
        <v>0</v>
      </c>
      <c r="K29" s="31" t="n">
        <f aca="false">(C29-G29)/C29</f>
        <v>0.62</v>
      </c>
    </row>
    <row r="30" customFormat="false" ht="17.25" hidden="false" customHeight="false" outlineLevel="0" collapsed="false">
      <c r="A30" s="23" t="n">
        <v>26</v>
      </c>
      <c r="B30" s="24" t="s">
        <v>34</v>
      </c>
      <c r="C30" s="25" t="n">
        <v>44</v>
      </c>
      <c r="D30" s="26" t="n">
        <v>12</v>
      </c>
      <c r="E30" s="26" t="n">
        <v>31</v>
      </c>
      <c r="F30" s="27" t="n">
        <v>1</v>
      </c>
      <c r="G30" s="28" t="n">
        <f aca="false">H30+I30+J30</f>
        <v>26</v>
      </c>
      <c r="H30" s="29" t="n">
        <v>15</v>
      </c>
      <c r="I30" s="29" t="n">
        <v>10</v>
      </c>
      <c r="J30" s="30" t="n">
        <v>1</v>
      </c>
      <c r="K30" s="31" t="n">
        <f aca="false">(C30-G30)/C30</f>
        <v>0.409090909090909</v>
      </c>
    </row>
    <row r="31" customFormat="false" ht="17.25" hidden="false" customHeight="false" outlineLevel="0" collapsed="false">
      <c r="A31" s="23" t="n">
        <v>27</v>
      </c>
      <c r="B31" s="24" t="s">
        <v>35</v>
      </c>
      <c r="C31" s="25" t="n">
        <v>44</v>
      </c>
      <c r="D31" s="26" t="n">
        <v>33</v>
      </c>
      <c r="E31" s="26" t="n">
        <v>10</v>
      </c>
      <c r="F31" s="27" t="n">
        <v>1</v>
      </c>
      <c r="G31" s="28" t="n">
        <f aca="false">H31+I31+J31</f>
        <v>43</v>
      </c>
      <c r="H31" s="29" t="n">
        <v>33</v>
      </c>
      <c r="I31" s="29" t="n">
        <v>9</v>
      </c>
      <c r="J31" s="30" t="n">
        <v>1</v>
      </c>
      <c r="K31" s="31" t="n">
        <f aca="false">(C31-G31)/C31</f>
        <v>0.0227272727272727</v>
      </c>
    </row>
    <row r="32" customFormat="false" ht="17.25" hidden="false" customHeight="false" outlineLevel="0" collapsed="false">
      <c r="A32" s="23" t="n">
        <v>28</v>
      </c>
      <c r="B32" s="24" t="s">
        <v>36</v>
      </c>
      <c r="C32" s="25" t="n">
        <v>91</v>
      </c>
      <c r="D32" s="26" t="n">
        <v>21</v>
      </c>
      <c r="E32" s="26" t="n">
        <v>70</v>
      </c>
      <c r="F32" s="27" t="n">
        <v>0</v>
      </c>
      <c r="G32" s="28" t="n">
        <f aca="false">H32+I32+J32</f>
        <v>41</v>
      </c>
      <c r="H32" s="29" t="n">
        <v>29</v>
      </c>
      <c r="I32" s="29" t="n">
        <v>12</v>
      </c>
      <c r="J32" s="30" t="n">
        <v>0</v>
      </c>
      <c r="K32" s="31" t="n">
        <f aca="false">(C32-G32)/C32</f>
        <v>0.54945054945055</v>
      </c>
    </row>
    <row r="33" customFormat="false" ht="17.25" hidden="false" customHeight="false" outlineLevel="0" collapsed="false">
      <c r="A33" s="23" t="n">
        <v>29</v>
      </c>
      <c r="B33" s="24" t="s">
        <v>37</v>
      </c>
      <c r="C33" s="25" t="n">
        <v>47</v>
      </c>
      <c r="D33" s="26" t="n">
        <v>10</v>
      </c>
      <c r="E33" s="26" t="n">
        <v>20</v>
      </c>
      <c r="F33" s="27" t="n">
        <v>17</v>
      </c>
      <c r="G33" s="28" t="n">
        <f aca="false">H33+I33+J33</f>
        <v>39</v>
      </c>
      <c r="H33" s="29" t="n">
        <v>12</v>
      </c>
      <c r="I33" s="29" t="n">
        <v>15</v>
      </c>
      <c r="J33" s="30" t="n">
        <v>12</v>
      </c>
      <c r="K33" s="31" t="n">
        <f aca="false">(C33-G33)/C33</f>
        <v>0.170212765957447</v>
      </c>
    </row>
    <row r="34" customFormat="false" ht="17.25" hidden="false" customHeight="false" outlineLevel="0" collapsed="false">
      <c r="A34" s="23" t="n">
        <v>30</v>
      </c>
      <c r="B34" s="24" t="s">
        <v>38</v>
      </c>
      <c r="C34" s="25" t="n">
        <v>50</v>
      </c>
      <c r="D34" s="26" t="n">
        <v>7</v>
      </c>
      <c r="E34" s="26" t="n">
        <v>36</v>
      </c>
      <c r="F34" s="27" t="n">
        <v>7</v>
      </c>
      <c r="G34" s="28" t="n">
        <f aca="false">H34+I34+J34</f>
        <v>30</v>
      </c>
      <c r="H34" s="29" t="n">
        <v>9</v>
      </c>
      <c r="I34" s="29" t="n">
        <v>20</v>
      </c>
      <c r="J34" s="30" t="n">
        <v>1</v>
      </c>
      <c r="K34" s="31" t="n">
        <f aca="false">(C34-G34)/C34</f>
        <v>0.4</v>
      </c>
    </row>
    <row r="35" customFormat="false" ht="17.25" hidden="false" customHeight="false" outlineLevel="0" collapsed="false">
      <c r="A35" s="23" t="n">
        <v>31</v>
      </c>
      <c r="B35" s="24" t="s">
        <v>39</v>
      </c>
      <c r="C35" s="25" t="n">
        <v>39</v>
      </c>
      <c r="D35" s="26" t="n">
        <v>4</v>
      </c>
      <c r="E35" s="26" t="n">
        <v>31</v>
      </c>
      <c r="F35" s="27" t="n">
        <v>4</v>
      </c>
      <c r="G35" s="28" t="n">
        <f aca="false">H35+I35+J35</f>
        <v>19</v>
      </c>
      <c r="H35" s="29" t="n">
        <v>4</v>
      </c>
      <c r="I35" s="29" t="n">
        <v>14</v>
      </c>
      <c r="J35" s="30" t="n">
        <v>1</v>
      </c>
      <c r="K35" s="31" t="n">
        <f aca="false">(C35-G35)/C35</f>
        <v>0.512820512820513</v>
      </c>
    </row>
    <row r="36" customFormat="false" ht="17.25" hidden="false" customHeight="false" outlineLevel="0" collapsed="false">
      <c r="A36" s="23" t="n">
        <v>32</v>
      </c>
      <c r="B36" s="24" t="s">
        <v>40</v>
      </c>
      <c r="C36" s="25" t="n">
        <v>59</v>
      </c>
      <c r="D36" s="26" t="n">
        <v>8</v>
      </c>
      <c r="E36" s="26" t="n">
        <v>41</v>
      </c>
      <c r="F36" s="27" t="n">
        <v>10</v>
      </c>
      <c r="G36" s="28" t="n">
        <f aca="false">H36+I36+J36</f>
        <v>19</v>
      </c>
      <c r="H36" s="29" t="n">
        <v>8</v>
      </c>
      <c r="I36" s="29" t="n">
        <v>10</v>
      </c>
      <c r="J36" s="30" t="n">
        <v>1</v>
      </c>
      <c r="K36" s="31" t="n">
        <f aca="false">(C36-G36)/C36</f>
        <v>0.677966101694915</v>
      </c>
    </row>
    <row r="37" customFormat="false" ht="17.25" hidden="false" customHeight="false" outlineLevel="0" collapsed="false">
      <c r="A37" s="23" t="n">
        <v>33</v>
      </c>
      <c r="B37" s="24" t="s">
        <v>41</v>
      </c>
      <c r="C37" s="25" t="n">
        <v>78</v>
      </c>
      <c r="D37" s="26" t="n">
        <v>10</v>
      </c>
      <c r="E37" s="26" t="n">
        <v>56</v>
      </c>
      <c r="F37" s="27" t="n">
        <v>12</v>
      </c>
      <c r="G37" s="28" t="n">
        <f aca="false">H37+I37+J37</f>
        <v>27</v>
      </c>
      <c r="H37" s="29" t="n">
        <v>15</v>
      </c>
      <c r="I37" s="29" t="n">
        <v>10</v>
      </c>
      <c r="J37" s="30" t="n">
        <v>2</v>
      </c>
      <c r="K37" s="31" t="n">
        <f aca="false">(C37-G37)/C37</f>
        <v>0.653846153846154</v>
      </c>
    </row>
    <row r="38" customFormat="false" ht="17.25" hidden="false" customHeight="false" outlineLevel="0" collapsed="false">
      <c r="A38" s="23" t="n">
        <v>34</v>
      </c>
      <c r="B38" s="24" t="s">
        <v>42</v>
      </c>
      <c r="C38" s="25" t="n">
        <v>86</v>
      </c>
      <c r="D38" s="26" t="n">
        <v>13</v>
      </c>
      <c r="E38" s="26" t="n">
        <v>67</v>
      </c>
      <c r="F38" s="27" t="n">
        <v>6</v>
      </c>
      <c r="G38" s="28" t="n">
        <f aca="false">H38+I38+J38</f>
        <v>23</v>
      </c>
      <c r="H38" s="29" t="n">
        <v>14</v>
      </c>
      <c r="I38" s="29" t="n">
        <v>9</v>
      </c>
      <c r="J38" s="30" t="n">
        <v>0</v>
      </c>
      <c r="K38" s="31" t="n">
        <f aca="false">(C38-G38)/C38</f>
        <v>0.732558139534884</v>
      </c>
    </row>
    <row r="39" customFormat="false" ht="17.25" hidden="false" customHeight="false" outlineLevel="0" collapsed="false">
      <c r="A39" s="23" t="n">
        <v>35</v>
      </c>
      <c r="B39" s="24" t="s">
        <v>43</v>
      </c>
      <c r="C39" s="25" t="n">
        <v>56</v>
      </c>
      <c r="D39" s="26" t="n">
        <v>14</v>
      </c>
      <c r="E39" s="26" t="n">
        <v>37</v>
      </c>
      <c r="F39" s="27" t="n">
        <v>5</v>
      </c>
      <c r="G39" s="28" t="n">
        <f aca="false">H39+I39+J39</f>
        <v>19</v>
      </c>
      <c r="H39" s="29" t="n">
        <v>13</v>
      </c>
      <c r="I39" s="29" t="n">
        <v>6</v>
      </c>
      <c r="J39" s="30" t="n">
        <v>0</v>
      </c>
      <c r="K39" s="31" t="n">
        <f aca="false">(C39-G39)/C39</f>
        <v>0.660714285714286</v>
      </c>
    </row>
    <row r="40" customFormat="false" ht="17.25" hidden="false" customHeight="false" outlineLevel="0" collapsed="false">
      <c r="A40" s="23" t="n">
        <v>36</v>
      </c>
      <c r="B40" s="24" t="s">
        <v>44</v>
      </c>
      <c r="C40" s="25" t="n">
        <v>50</v>
      </c>
      <c r="D40" s="26" t="n">
        <v>4</v>
      </c>
      <c r="E40" s="26" t="n">
        <v>38</v>
      </c>
      <c r="F40" s="27" t="n">
        <v>8</v>
      </c>
      <c r="G40" s="28" t="n">
        <f aca="false">H40+I40+J40</f>
        <v>24</v>
      </c>
      <c r="H40" s="29" t="n">
        <v>8</v>
      </c>
      <c r="I40" s="29" t="n">
        <v>15</v>
      </c>
      <c r="J40" s="30" t="n">
        <v>1</v>
      </c>
      <c r="K40" s="31" t="n">
        <f aca="false">(C40-G40)/C40</f>
        <v>0.52</v>
      </c>
    </row>
    <row r="41" customFormat="false" ht="17.25" hidden="false" customHeight="false" outlineLevel="0" collapsed="false">
      <c r="A41" s="23" t="n">
        <v>37</v>
      </c>
      <c r="B41" s="24" t="s">
        <v>45</v>
      </c>
      <c r="C41" s="25" t="n">
        <v>43</v>
      </c>
      <c r="D41" s="26" t="n">
        <v>5</v>
      </c>
      <c r="E41" s="26" t="n">
        <v>38</v>
      </c>
      <c r="F41" s="27" t="n">
        <v>0</v>
      </c>
      <c r="G41" s="28" t="n">
        <f aca="false">H41+I41+J41</f>
        <v>17</v>
      </c>
      <c r="H41" s="29" t="n">
        <v>8</v>
      </c>
      <c r="I41" s="29" t="n">
        <v>9</v>
      </c>
      <c r="J41" s="30" t="n">
        <v>0</v>
      </c>
      <c r="K41" s="31" t="n">
        <f aca="false">(C41-G41)/C41</f>
        <v>0.604651162790698</v>
      </c>
    </row>
    <row r="42" customFormat="false" ht="17.25" hidden="false" customHeight="false" outlineLevel="0" collapsed="false">
      <c r="A42" s="23" t="n">
        <v>38</v>
      </c>
      <c r="B42" s="24" t="s">
        <v>46</v>
      </c>
      <c r="C42" s="25" t="n">
        <v>70</v>
      </c>
      <c r="D42" s="26" t="n">
        <v>12</v>
      </c>
      <c r="E42" s="26" t="n">
        <v>44</v>
      </c>
      <c r="F42" s="27" t="n">
        <v>14</v>
      </c>
      <c r="G42" s="28" t="n">
        <f aca="false">H42+I42+J42</f>
        <v>20</v>
      </c>
      <c r="H42" s="29" t="n">
        <v>11</v>
      </c>
      <c r="I42" s="29" t="n">
        <v>9</v>
      </c>
      <c r="J42" s="30" t="n">
        <v>0</v>
      </c>
      <c r="K42" s="31" t="n">
        <f aca="false">(C42-G42)/C42</f>
        <v>0.714285714285714</v>
      </c>
    </row>
    <row r="43" customFormat="false" ht="17.25" hidden="false" customHeight="false" outlineLevel="0" collapsed="false">
      <c r="A43" s="23" t="n">
        <v>39</v>
      </c>
      <c r="B43" s="24" t="s">
        <v>47</v>
      </c>
      <c r="C43" s="25" t="n">
        <v>53</v>
      </c>
      <c r="D43" s="26" t="n">
        <v>9</v>
      </c>
      <c r="E43" s="26" t="n">
        <v>25</v>
      </c>
      <c r="F43" s="27" t="n">
        <v>19</v>
      </c>
      <c r="G43" s="28" t="n">
        <f aca="false">H43+I43+J43</f>
        <v>34</v>
      </c>
      <c r="H43" s="29" t="n">
        <v>11</v>
      </c>
      <c r="I43" s="29" t="n">
        <v>17</v>
      </c>
      <c r="J43" s="30" t="n">
        <v>6</v>
      </c>
      <c r="K43" s="31" t="n">
        <f aca="false">(C43-G43)/C43</f>
        <v>0.358490566037736</v>
      </c>
    </row>
    <row r="44" customFormat="false" ht="17.25" hidden="false" customHeight="false" outlineLevel="0" collapsed="false">
      <c r="A44" s="23" t="n">
        <v>40</v>
      </c>
      <c r="B44" s="24" t="s">
        <v>48</v>
      </c>
      <c r="C44" s="25" t="n">
        <v>97</v>
      </c>
      <c r="D44" s="26" t="n">
        <v>24</v>
      </c>
      <c r="E44" s="26" t="n">
        <v>65</v>
      </c>
      <c r="F44" s="27" t="n">
        <v>8</v>
      </c>
      <c r="G44" s="28" t="n">
        <f aca="false">H44+I44+J44</f>
        <v>60</v>
      </c>
      <c r="H44" s="29" t="n">
        <v>28</v>
      </c>
      <c r="I44" s="29" t="n">
        <v>30</v>
      </c>
      <c r="J44" s="30" t="n">
        <v>2</v>
      </c>
      <c r="K44" s="31" t="n">
        <f aca="false">(C44-G44)/C44</f>
        <v>0.381443298969072</v>
      </c>
    </row>
    <row r="45" customFormat="false" ht="17.25" hidden="false" customHeight="false" outlineLevel="0" collapsed="false">
      <c r="A45" s="23" t="n">
        <v>41</v>
      </c>
      <c r="B45" s="24" t="s">
        <v>49</v>
      </c>
      <c r="C45" s="25" t="n">
        <v>49</v>
      </c>
      <c r="D45" s="26" t="n">
        <v>7</v>
      </c>
      <c r="E45" s="26" t="n">
        <v>37</v>
      </c>
      <c r="F45" s="27" t="n">
        <v>5</v>
      </c>
      <c r="G45" s="28" t="n">
        <f aca="false">H45+I45+J45</f>
        <v>20</v>
      </c>
      <c r="H45" s="29" t="n">
        <v>10</v>
      </c>
      <c r="I45" s="29" t="n">
        <v>10</v>
      </c>
      <c r="J45" s="30" t="n">
        <v>0</v>
      </c>
      <c r="K45" s="31" t="n">
        <f aca="false">(C45-G45)/C45</f>
        <v>0.591836734693878</v>
      </c>
    </row>
    <row r="46" customFormat="false" ht="17.25" hidden="false" customHeight="false" outlineLevel="0" collapsed="false">
      <c r="A46" s="23" t="n">
        <v>42</v>
      </c>
      <c r="B46" s="24" t="s">
        <v>50</v>
      </c>
      <c r="C46" s="25" t="n">
        <v>79</v>
      </c>
      <c r="D46" s="26" t="n">
        <v>8</v>
      </c>
      <c r="E46" s="26" t="n">
        <v>70</v>
      </c>
      <c r="F46" s="27" t="n">
        <v>1</v>
      </c>
      <c r="G46" s="28" t="n">
        <f aca="false">H46+I46+J46</f>
        <v>21</v>
      </c>
      <c r="H46" s="29" t="n">
        <v>13</v>
      </c>
      <c r="I46" s="29" t="n">
        <v>8</v>
      </c>
      <c r="J46" s="30" t="n">
        <v>0</v>
      </c>
      <c r="K46" s="31" t="n">
        <f aca="false">(C46-G46)/C46</f>
        <v>0.734177215189873</v>
      </c>
    </row>
    <row r="47" customFormat="false" ht="17.25" hidden="false" customHeight="false" outlineLevel="0" collapsed="false">
      <c r="A47" s="23" t="n">
        <v>43</v>
      </c>
      <c r="B47" s="24" t="s">
        <v>51</v>
      </c>
      <c r="C47" s="25" t="n">
        <v>94</v>
      </c>
      <c r="D47" s="26" t="n">
        <v>11</v>
      </c>
      <c r="E47" s="26" t="n">
        <v>62</v>
      </c>
      <c r="F47" s="27" t="n">
        <v>21</v>
      </c>
      <c r="G47" s="28" t="n">
        <f aca="false">H47+I47+J47</f>
        <v>45</v>
      </c>
      <c r="H47" s="29" t="n">
        <v>14</v>
      </c>
      <c r="I47" s="29" t="n">
        <v>23</v>
      </c>
      <c r="J47" s="30" t="n">
        <v>8</v>
      </c>
      <c r="K47" s="31" t="n">
        <f aca="false">(C47-G47)/C47</f>
        <v>0.521276595744681</v>
      </c>
    </row>
    <row r="48" customFormat="false" ht="17.25" hidden="false" customHeight="false" outlineLevel="0" collapsed="false">
      <c r="A48" s="23" t="n">
        <v>44</v>
      </c>
      <c r="B48" s="24" t="s">
        <v>52</v>
      </c>
      <c r="C48" s="25" t="n">
        <v>58</v>
      </c>
      <c r="D48" s="26" t="n">
        <v>11</v>
      </c>
      <c r="E48" s="26" t="n">
        <v>36</v>
      </c>
      <c r="F48" s="27" t="n">
        <v>11</v>
      </c>
      <c r="G48" s="28" t="n">
        <f aca="false">H48+I48+J48</f>
        <v>18</v>
      </c>
      <c r="H48" s="29" t="n">
        <v>14</v>
      </c>
      <c r="I48" s="29" t="n">
        <v>3</v>
      </c>
      <c r="J48" s="30" t="n">
        <v>1</v>
      </c>
      <c r="K48" s="31" t="n">
        <f aca="false">(C48-G48)/C48</f>
        <v>0.689655172413793</v>
      </c>
    </row>
    <row r="49" customFormat="false" ht="17.25" hidden="false" customHeight="false" outlineLevel="0" collapsed="false">
      <c r="A49" s="23" t="n">
        <v>45</v>
      </c>
      <c r="B49" s="24" t="s">
        <v>53</v>
      </c>
      <c r="C49" s="25" t="n">
        <v>44</v>
      </c>
      <c r="D49" s="26" t="n">
        <v>9</v>
      </c>
      <c r="E49" s="26" t="n">
        <v>28</v>
      </c>
      <c r="F49" s="27" t="n">
        <v>7</v>
      </c>
      <c r="G49" s="28" t="n">
        <f aca="false">H49+I49+J49</f>
        <v>26</v>
      </c>
      <c r="H49" s="29" t="n">
        <v>9</v>
      </c>
      <c r="I49" s="29" t="n">
        <v>14</v>
      </c>
      <c r="J49" s="30" t="n">
        <v>3</v>
      </c>
      <c r="K49" s="31" t="n">
        <f aca="false">(C49-G49)/C49</f>
        <v>0.409090909090909</v>
      </c>
    </row>
    <row r="50" customFormat="false" ht="17.25" hidden="false" customHeight="false" outlineLevel="0" collapsed="false">
      <c r="A50" s="23" t="n">
        <v>46</v>
      </c>
      <c r="B50" s="24" t="s">
        <v>54</v>
      </c>
      <c r="C50" s="25" t="n">
        <v>96</v>
      </c>
      <c r="D50" s="26" t="n">
        <v>14</v>
      </c>
      <c r="E50" s="26" t="n">
        <v>73</v>
      </c>
      <c r="F50" s="27" t="n">
        <v>9</v>
      </c>
      <c r="G50" s="28" t="n">
        <f aca="false">H50+I50+J50</f>
        <v>43</v>
      </c>
      <c r="H50" s="29" t="n">
        <v>19</v>
      </c>
      <c r="I50" s="29" t="n">
        <v>20</v>
      </c>
      <c r="J50" s="30" t="n">
        <v>4</v>
      </c>
      <c r="K50" s="31" t="n">
        <f aca="false">(C50-G50)/C50</f>
        <v>0.552083333333333</v>
      </c>
    </row>
    <row r="51" customFormat="false" ht="18" hidden="false" customHeight="false" outlineLevel="0" collapsed="false">
      <c r="A51" s="32" t="n">
        <v>47</v>
      </c>
      <c r="B51" s="33" t="s">
        <v>55</v>
      </c>
      <c r="C51" s="34" t="n">
        <v>53</v>
      </c>
      <c r="D51" s="35" t="n">
        <v>10</v>
      </c>
      <c r="E51" s="35" t="n">
        <v>16</v>
      </c>
      <c r="F51" s="36" t="n">
        <v>27</v>
      </c>
      <c r="G51" s="37" t="n">
        <f aca="false">H51+I51+J51</f>
        <v>41</v>
      </c>
      <c r="H51" s="38" t="n">
        <v>11</v>
      </c>
      <c r="I51" s="38" t="n">
        <v>11</v>
      </c>
      <c r="J51" s="39" t="n">
        <v>19</v>
      </c>
      <c r="K51" s="40" t="n">
        <f aca="false">(C51-G51)/C51</f>
        <v>0.226415094339623</v>
      </c>
    </row>
    <row r="52" s="47" customFormat="true" ht="30.75" hidden="false" customHeight="true" outlineLevel="0" collapsed="false">
      <c r="A52" s="41"/>
      <c r="B52" s="41"/>
      <c r="C52" s="42" t="n">
        <f aca="false">SUM(C5:C51)</f>
        <v>3232</v>
      </c>
      <c r="D52" s="43" t="n">
        <f aca="false">SUM(D5:D51)</f>
        <v>670</v>
      </c>
      <c r="E52" s="44" t="n">
        <f aca="false">SUM(E5:E51)</f>
        <v>1994</v>
      </c>
      <c r="F52" s="45" t="n">
        <f aca="false">SUM(F5:F51)</f>
        <v>568</v>
      </c>
      <c r="G52" s="42" t="n">
        <f aca="false">SUM(G5:G51)</f>
        <v>1718</v>
      </c>
      <c r="H52" s="43" t="n">
        <f aca="false">SUM(H5:H51)</f>
        <v>790</v>
      </c>
      <c r="I52" s="43" t="n">
        <f aca="false">SUM(I5:I51)</f>
        <v>745</v>
      </c>
      <c r="J52" s="45" t="n">
        <f aca="false">SUM(J5:J51)</f>
        <v>183</v>
      </c>
      <c r="K52" s="46" t="n">
        <f aca="false">(C52-G52)/C52</f>
        <v>0.468440594059406</v>
      </c>
      <c r="M52" s="1"/>
      <c r="N52" s="1"/>
      <c r="O52" s="1"/>
      <c r="P52" s="1"/>
    </row>
    <row r="53" s="47" customFormat="true" ht="13.5" hidden="false" customHeight="false" outlineLevel="0" collapsed="false">
      <c r="A53" s="1"/>
      <c r="B53" s="1"/>
      <c r="C53" s="1"/>
      <c r="G53" s="1"/>
      <c r="K53" s="1"/>
    </row>
    <row r="54" s="47" customFormat="true" ht="13.5" hidden="false" customHeight="false" outlineLevel="0" collapsed="false">
      <c r="A54" s="1"/>
      <c r="B54" s="48" t="s">
        <v>56</v>
      </c>
    </row>
    <row r="55" s="47" customFormat="true" ht="13.5" hidden="false" customHeight="false" outlineLevel="0" collapsed="false">
      <c r="A55" s="1"/>
    </row>
    <row r="56" s="47" customFormat="true" ht="13.5" hidden="false" customHeight="false" outlineLevel="0" collapsed="false">
      <c r="A56" s="1"/>
    </row>
    <row r="57" s="47" customFormat="true" ht="13.5" hidden="false" customHeight="false" outlineLevel="0" collapsed="false">
      <c r="A57" s="1"/>
    </row>
    <row r="58" s="47" customFormat="true" ht="13.5" hidden="false" customHeight="false" outlineLevel="0" collapsed="false">
      <c r="A58" s="1"/>
    </row>
    <row r="59" s="47" customFormat="true" ht="13.5" hidden="false" customHeight="false" outlineLevel="0" collapsed="false">
      <c r="A59" s="1"/>
    </row>
    <row r="60" s="47" customFormat="true" ht="13.5" hidden="false" customHeight="false" outlineLevel="0" collapsed="false">
      <c r="A60" s="1"/>
    </row>
    <row r="61" s="47" customFormat="true" ht="13.5" hidden="false" customHeight="false" outlineLevel="0" collapsed="false">
      <c r="A61" s="1"/>
    </row>
    <row r="62" s="47" customFormat="true" ht="13.5" hidden="false" customHeight="false" outlineLevel="0" collapsed="false">
      <c r="A62" s="1"/>
    </row>
    <row r="63" s="47" customFormat="true" ht="13.5" hidden="false" customHeight="false" outlineLevel="0" collapsed="false">
      <c r="A63" s="1"/>
    </row>
    <row r="64" s="47" customFormat="true" ht="13.5" hidden="false" customHeight="false" outlineLevel="0" collapsed="false">
      <c r="A64" s="1"/>
    </row>
    <row r="65" s="47" customFormat="true" ht="13.5" hidden="false" customHeight="false" outlineLevel="0" collapsed="false">
      <c r="A65" s="1"/>
    </row>
    <row r="66" s="47" customFormat="true" ht="13.5" hidden="false" customHeight="false" outlineLevel="0" collapsed="false">
      <c r="A66" s="1"/>
    </row>
    <row r="67" s="47" customFormat="true" ht="13.5" hidden="false" customHeight="false" outlineLevel="0" collapsed="false">
      <c r="A67" s="1"/>
    </row>
    <row r="68" s="47" customFormat="true" ht="13.5" hidden="false" customHeight="false" outlineLevel="0" collapsed="false">
      <c r="A68" s="1"/>
    </row>
    <row r="69" s="47" customFormat="true" ht="13.5" hidden="false" customHeight="false" outlineLevel="0" collapsed="false">
      <c r="A69" s="1"/>
    </row>
    <row r="70" s="47" customFormat="true" ht="13.5" hidden="false" customHeight="false" outlineLevel="0" collapsed="false">
      <c r="A70" s="1"/>
    </row>
    <row r="71" s="47" customFormat="true" ht="13.5" hidden="false" customHeight="false" outlineLevel="0" collapsed="false">
      <c r="A71" s="1"/>
    </row>
    <row r="72" s="47" customFormat="true" ht="13.5" hidden="false" customHeight="false" outlineLevel="0" collapsed="false">
      <c r="A72" s="1"/>
    </row>
    <row r="73" s="47" customFormat="true" ht="13.5" hidden="false" customHeight="false" outlineLevel="0" collapsed="false">
      <c r="A73" s="1"/>
    </row>
    <row r="74" s="47" customFormat="true" ht="13.5" hidden="false" customHeight="false" outlineLevel="0" collapsed="false">
      <c r="A74" s="1"/>
    </row>
    <row r="75" s="47" customFormat="true" ht="13.5" hidden="false" customHeight="false" outlineLevel="0" collapsed="false">
      <c r="A75" s="1"/>
    </row>
    <row r="76" s="47" customFormat="true" ht="13.5" hidden="false" customHeight="false" outlineLevel="0" collapsed="false">
      <c r="A76" s="1"/>
    </row>
    <row r="77" s="47" customFormat="true" ht="13.5" hidden="false" customHeight="false" outlineLevel="0" collapsed="false">
      <c r="A77" s="1"/>
    </row>
    <row r="78" s="47" customFormat="true" ht="13.5" hidden="false" customHeight="false" outlineLevel="0" collapsed="false">
      <c r="A78" s="1"/>
    </row>
    <row r="79" s="47" customFormat="true" ht="13.5" hidden="false" customHeight="false" outlineLevel="0" collapsed="false">
      <c r="A79" s="1"/>
    </row>
    <row r="80" s="47" customFormat="true" ht="13.5" hidden="false" customHeight="false" outlineLevel="0" collapsed="false">
      <c r="A80" s="1"/>
    </row>
    <row r="81" s="47" customFormat="true" ht="13.5" hidden="false" customHeight="false" outlineLevel="0" collapsed="false">
      <c r="A81" s="1"/>
    </row>
    <row r="82" s="47" customFormat="true" ht="13.5" hidden="false" customHeight="false" outlineLevel="0" collapsed="false">
      <c r="A82" s="1"/>
    </row>
    <row r="83" s="47" customFormat="true" ht="13.5" hidden="false" customHeight="false" outlineLevel="0" collapsed="false">
      <c r="A83" s="1"/>
    </row>
    <row r="84" s="47" customFormat="true" ht="13.5" hidden="false" customHeight="false" outlineLevel="0" collapsed="false">
      <c r="A84" s="1"/>
    </row>
    <row r="85" s="47" customFormat="true" ht="13.5" hidden="false" customHeight="false" outlineLevel="0" collapsed="false">
      <c r="A85" s="1"/>
    </row>
    <row r="86" s="47" customFormat="true" ht="13.5" hidden="false" customHeight="false" outlineLevel="0" collapsed="false">
      <c r="A86" s="1"/>
    </row>
    <row r="87" s="47" customFormat="true" ht="13.5" hidden="false" customHeight="false" outlineLevel="0" collapsed="false">
      <c r="A87" s="1"/>
    </row>
    <row r="88" s="47" customFormat="true" ht="13.5" hidden="false" customHeight="false" outlineLevel="0" collapsed="false">
      <c r="A88" s="1"/>
    </row>
    <row r="89" s="47" customFormat="true" ht="13.5" hidden="false" customHeight="false" outlineLevel="0" collapsed="false">
      <c r="A89" s="1"/>
    </row>
    <row r="90" s="47" customFormat="true" ht="13.5" hidden="false" customHeight="false" outlineLevel="0" collapsed="false">
      <c r="A90" s="1"/>
    </row>
    <row r="91" s="47" customFormat="true" ht="13.5" hidden="false" customHeight="false" outlineLevel="0" collapsed="false">
      <c r="A91" s="1"/>
    </row>
    <row r="92" s="47" customFormat="true" ht="13.5" hidden="false" customHeight="false" outlineLevel="0" collapsed="false">
      <c r="A92" s="1"/>
    </row>
    <row r="93" s="47" customFormat="true" ht="13.5" hidden="false" customHeight="false" outlineLevel="0" collapsed="false">
      <c r="A93" s="1"/>
    </row>
    <row r="94" s="47" customFormat="true" ht="13.5" hidden="false" customHeight="false" outlineLevel="0" collapsed="false">
      <c r="A94" s="1"/>
    </row>
    <row r="95" s="47" customFormat="true" ht="13.5" hidden="false" customHeight="false" outlineLevel="0" collapsed="false">
      <c r="A95" s="1"/>
    </row>
    <row r="96" s="47" customFormat="true" ht="13.5" hidden="false" customHeight="false" outlineLevel="0" collapsed="false">
      <c r="A96" s="1"/>
    </row>
    <row r="97" s="47" customFormat="true" ht="13.5" hidden="false" customHeight="false" outlineLevel="0" collapsed="false">
      <c r="A97" s="1"/>
    </row>
    <row r="98" s="47" customFormat="true" ht="13.5" hidden="false" customHeight="false" outlineLevel="0" collapsed="false">
      <c r="A98" s="1"/>
    </row>
    <row r="99" s="47" customFormat="true" ht="13.5" hidden="false" customHeight="false" outlineLevel="0" collapsed="false">
      <c r="A99" s="1"/>
    </row>
    <row r="100" s="47" customFormat="true" ht="13.5" hidden="false" customHeight="false" outlineLevel="0" collapsed="false">
      <c r="A100" s="1"/>
    </row>
    <row r="101" s="47" customFormat="true" ht="13.5" hidden="false" customHeight="false" outlineLevel="0" collapsed="false">
      <c r="A101" s="1"/>
    </row>
    <row r="102" s="47" customFormat="true" ht="13.5" hidden="false" customHeight="false" outlineLevel="0" collapsed="false">
      <c r="A102" s="1"/>
    </row>
    <row r="103" s="47" customFormat="true" ht="13.5" hidden="false" customHeight="false" outlineLevel="0" collapsed="false">
      <c r="A103" s="1"/>
    </row>
    <row r="104" s="47" customFormat="true" ht="13.5" hidden="false" customHeight="false" outlineLevel="0" collapsed="false">
      <c r="A104" s="1"/>
    </row>
    <row r="105" s="47" customFormat="true" ht="13.5" hidden="false" customHeight="false" outlineLevel="0" collapsed="false">
      <c r="A105" s="1"/>
    </row>
    <row r="106" s="47" customFormat="true" ht="13.5" hidden="false" customHeight="false" outlineLevel="0" collapsed="false">
      <c r="A106" s="1"/>
    </row>
    <row r="107" s="47" customFormat="true" ht="13.5" hidden="false" customHeight="false" outlineLevel="0" collapsed="false">
      <c r="A107" s="1"/>
    </row>
    <row r="108" s="47" customFormat="true" ht="13.5" hidden="false" customHeight="false" outlineLevel="0" collapsed="false">
      <c r="A108" s="1"/>
    </row>
    <row r="109" s="47" customFormat="true" ht="13.5" hidden="false" customHeight="false" outlineLevel="0" collapsed="false">
      <c r="A109" s="1"/>
    </row>
    <row r="110" s="47" customFormat="true" ht="13.5" hidden="false" customHeight="false" outlineLevel="0" collapsed="false">
      <c r="A110" s="1"/>
    </row>
    <row r="111" s="47" customFormat="true" ht="13.5" hidden="false" customHeight="false" outlineLevel="0" collapsed="false">
      <c r="A111" s="1"/>
    </row>
    <row r="112" s="47" customFormat="true" ht="13.5" hidden="false" customHeight="false" outlineLevel="0" collapsed="false">
      <c r="A112" s="1"/>
    </row>
    <row r="113" s="47" customFormat="true" ht="13.5" hidden="false" customHeight="false" outlineLevel="0" collapsed="false">
      <c r="A113" s="1"/>
    </row>
    <row r="114" s="47" customFormat="true" ht="13.5" hidden="false" customHeight="false" outlineLevel="0" collapsed="false">
      <c r="A114" s="1"/>
    </row>
    <row r="115" s="47" customFormat="true" ht="13.5" hidden="false" customHeight="false" outlineLevel="0" collapsed="false">
      <c r="A115" s="1"/>
    </row>
    <row r="116" s="47" customFormat="true" ht="13.5" hidden="false" customHeight="false" outlineLevel="0" collapsed="false">
      <c r="A116" s="1"/>
    </row>
    <row r="117" s="47" customFormat="true" ht="13.5" hidden="false" customHeight="false" outlineLevel="0" collapsed="false">
      <c r="A117" s="1"/>
    </row>
    <row r="118" s="47" customFormat="true" ht="13.5" hidden="false" customHeight="false" outlineLevel="0" collapsed="false">
      <c r="A118" s="1"/>
    </row>
    <row r="119" s="47" customFormat="true" ht="13.5" hidden="false" customHeight="false" outlineLevel="0" collapsed="false">
      <c r="A119" s="1"/>
    </row>
    <row r="120" s="47" customFormat="true" ht="13.5" hidden="false" customHeight="false" outlineLevel="0" collapsed="false">
      <c r="A120" s="1"/>
    </row>
    <row r="121" s="47" customFormat="true" ht="13.5" hidden="false" customHeight="false" outlineLevel="0" collapsed="false">
      <c r="A121" s="1"/>
    </row>
    <row r="122" s="47" customFormat="true" ht="13.5" hidden="false" customHeight="false" outlineLevel="0" collapsed="false">
      <c r="A122" s="1"/>
    </row>
    <row r="123" s="47" customFormat="true" ht="13.5" hidden="false" customHeight="false" outlineLevel="0" collapsed="false">
      <c r="A123" s="1"/>
    </row>
    <row r="124" s="47" customFormat="true" ht="13.5" hidden="false" customHeight="false" outlineLevel="0" collapsed="false">
      <c r="A124" s="1"/>
    </row>
    <row r="125" s="47" customFormat="true" ht="13.5" hidden="false" customHeight="false" outlineLevel="0" collapsed="false">
      <c r="A125" s="1"/>
    </row>
    <row r="126" s="47" customFormat="true" ht="13.5" hidden="false" customHeight="false" outlineLevel="0" collapsed="false">
      <c r="A126" s="1"/>
    </row>
    <row r="127" s="47" customFormat="true" ht="13.5" hidden="false" customHeight="false" outlineLevel="0" collapsed="false">
      <c r="A127" s="1"/>
    </row>
    <row r="128" s="47" customFormat="true" ht="13.5" hidden="false" customHeight="false" outlineLevel="0" collapsed="false">
      <c r="A128" s="1"/>
    </row>
    <row r="129" s="47" customFormat="true" ht="13.5" hidden="false" customHeight="false" outlineLevel="0" collapsed="false">
      <c r="A129" s="1"/>
    </row>
    <row r="130" s="47" customFormat="true" ht="13.5" hidden="false" customHeight="false" outlineLevel="0" collapsed="false">
      <c r="A130" s="1"/>
    </row>
    <row r="131" s="47" customFormat="true" ht="13.5" hidden="false" customHeight="false" outlineLevel="0" collapsed="false">
      <c r="A131" s="1"/>
    </row>
    <row r="132" s="47" customFormat="true" ht="13.5" hidden="false" customHeight="false" outlineLevel="0" collapsed="false">
      <c r="A132" s="1"/>
    </row>
    <row r="133" s="47" customFormat="true" ht="13.5" hidden="false" customHeight="false" outlineLevel="0" collapsed="false">
      <c r="A133" s="1"/>
    </row>
    <row r="134" s="47" customFormat="true" ht="13.5" hidden="false" customHeight="false" outlineLevel="0" collapsed="false">
      <c r="A134" s="1"/>
    </row>
    <row r="135" s="47" customFormat="true" ht="13.5" hidden="false" customHeight="false" outlineLevel="0" collapsed="false">
      <c r="A135" s="1"/>
    </row>
    <row r="136" s="47" customFormat="true" ht="13.5" hidden="false" customHeight="false" outlineLevel="0" collapsed="false">
      <c r="A136" s="1"/>
    </row>
    <row r="137" s="47" customFormat="true" ht="13.5" hidden="false" customHeight="false" outlineLevel="0" collapsed="false">
      <c r="A137" s="1"/>
    </row>
    <row r="138" s="47" customFormat="true" ht="13.5" hidden="false" customHeight="false" outlineLevel="0" collapsed="false">
      <c r="A138" s="1"/>
    </row>
    <row r="139" s="47" customFormat="true" ht="13.5" hidden="false" customHeight="false" outlineLevel="0" collapsed="false">
      <c r="A139" s="1"/>
    </row>
    <row r="140" s="47" customFormat="true" ht="13.5" hidden="false" customHeight="false" outlineLevel="0" collapsed="false">
      <c r="A140" s="1"/>
    </row>
    <row r="141" s="47" customFormat="true" ht="13.5" hidden="false" customHeight="false" outlineLevel="0" collapsed="false">
      <c r="A141" s="1"/>
    </row>
    <row r="142" s="47" customFormat="true" ht="13.5" hidden="false" customHeight="false" outlineLevel="0" collapsed="false">
      <c r="A142" s="1"/>
    </row>
    <row r="143" s="47" customFormat="true" ht="13.5" hidden="false" customHeight="false" outlineLevel="0" collapsed="false">
      <c r="A143" s="1"/>
    </row>
    <row r="144" s="47" customFormat="true" ht="13.5" hidden="false" customHeight="false" outlineLevel="0" collapsed="false">
      <c r="A144" s="1"/>
    </row>
    <row r="145" s="47" customFormat="true" ht="13.5" hidden="false" customHeight="false" outlineLevel="0" collapsed="false">
      <c r="A145" s="1"/>
    </row>
    <row r="146" s="47" customFormat="true" ht="13.5" hidden="false" customHeight="false" outlineLevel="0" collapsed="false">
      <c r="A146" s="1"/>
    </row>
    <row r="147" s="47" customFormat="true" ht="13.5" hidden="false" customHeight="false" outlineLevel="0" collapsed="false">
      <c r="A147" s="1"/>
    </row>
    <row r="148" s="47" customFormat="true" ht="13.5" hidden="false" customHeight="false" outlineLevel="0" collapsed="false">
      <c r="A148" s="1"/>
    </row>
    <row r="149" s="47" customFormat="true" ht="13.5" hidden="false" customHeight="false" outlineLevel="0" collapsed="false">
      <c r="A149" s="1"/>
    </row>
    <row r="150" s="47" customFormat="true" ht="13.5" hidden="false" customHeight="false" outlineLevel="0" collapsed="false">
      <c r="A150" s="1"/>
    </row>
    <row r="151" s="47" customFormat="true" ht="13.5" hidden="false" customHeight="false" outlineLevel="0" collapsed="false">
      <c r="A151" s="1"/>
    </row>
    <row r="152" s="47" customFormat="true" ht="13.5" hidden="false" customHeight="false" outlineLevel="0" collapsed="false">
      <c r="A152" s="1"/>
    </row>
    <row r="153" s="47" customFormat="true" ht="13.5" hidden="false" customHeight="false" outlineLevel="0" collapsed="false">
      <c r="A153" s="1"/>
    </row>
    <row r="154" s="47" customFormat="true" ht="13.5" hidden="false" customHeight="false" outlineLevel="0" collapsed="false">
      <c r="A154" s="1"/>
    </row>
    <row r="155" s="47" customFormat="true" ht="13.5" hidden="false" customHeight="false" outlineLevel="0" collapsed="false">
      <c r="A155" s="1"/>
    </row>
    <row r="156" s="47" customFormat="true" ht="13.5" hidden="false" customHeight="false" outlineLevel="0" collapsed="false">
      <c r="A156" s="1"/>
    </row>
    <row r="157" s="47" customFormat="true" ht="13.5" hidden="false" customHeight="false" outlineLevel="0" collapsed="false">
      <c r="A157" s="1"/>
    </row>
    <row r="158" s="47" customFormat="true" ht="13.5" hidden="false" customHeight="false" outlineLevel="0" collapsed="false">
      <c r="A158" s="1"/>
    </row>
    <row r="159" s="47" customFormat="true" ht="13.5" hidden="false" customHeight="false" outlineLevel="0" collapsed="false">
      <c r="A159" s="1"/>
    </row>
    <row r="160" s="47" customFormat="true" ht="13.5" hidden="false" customHeight="false" outlineLevel="0" collapsed="false">
      <c r="A160" s="1"/>
    </row>
    <row r="161" s="47" customFormat="true" ht="13.5" hidden="false" customHeight="false" outlineLevel="0" collapsed="false">
      <c r="A161" s="1"/>
    </row>
    <row r="162" s="47" customFormat="true" ht="13.5" hidden="false" customHeight="false" outlineLevel="0" collapsed="false">
      <c r="A162" s="1"/>
    </row>
    <row r="163" s="47" customFormat="true" ht="13.5" hidden="false" customHeight="false" outlineLevel="0" collapsed="false">
      <c r="A163" s="1"/>
    </row>
    <row r="164" s="47" customFormat="true" ht="13.5" hidden="false" customHeight="false" outlineLevel="0" collapsed="false">
      <c r="A164" s="1"/>
    </row>
    <row r="165" s="47" customFormat="true" ht="13.5" hidden="false" customHeight="false" outlineLevel="0" collapsed="false">
      <c r="A165" s="1"/>
    </row>
    <row r="166" s="47" customFormat="true" ht="13.5" hidden="false" customHeight="false" outlineLevel="0" collapsed="false">
      <c r="A166" s="1"/>
    </row>
    <row r="167" s="47" customFormat="true" ht="13.5" hidden="false" customHeight="false" outlineLevel="0" collapsed="false">
      <c r="A167" s="1"/>
    </row>
    <row r="168" s="47" customFormat="true" ht="13.5" hidden="false" customHeight="false" outlineLevel="0" collapsed="false">
      <c r="A168" s="1"/>
    </row>
    <row r="169" s="47" customFormat="true" ht="13.5" hidden="false" customHeight="false" outlineLevel="0" collapsed="false">
      <c r="A169" s="1"/>
    </row>
    <row r="170" s="47" customFormat="true" ht="13.5" hidden="false" customHeight="false" outlineLevel="0" collapsed="false">
      <c r="A170" s="1"/>
    </row>
    <row r="171" s="47" customFormat="true" ht="13.5" hidden="false" customHeight="false" outlineLevel="0" collapsed="false">
      <c r="A171" s="1"/>
    </row>
    <row r="172" s="47" customFormat="true" ht="13.5" hidden="false" customHeight="false" outlineLevel="0" collapsed="false">
      <c r="A172" s="1"/>
    </row>
    <row r="173" s="47" customFormat="true" ht="13.5" hidden="false" customHeight="false" outlineLevel="0" collapsed="false">
      <c r="A173" s="1"/>
    </row>
    <row r="174" s="47" customFormat="true" ht="13.5" hidden="false" customHeight="false" outlineLevel="0" collapsed="false">
      <c r="A174" s="1"/>
    </row>
    <row r="175" s="47" customFormat="true" ht="13.5" hidden="false" customHeight="false" outlineLevel="0" collapsed="false">
      <c r="A175" s="1"/>
    </row>
    <row r="176" s="47" customFormat="true" ht="13.5" hidden="false" customHeight="false" outlineLevel="0" collapsed="false">
      <c r="A176" s="1"/>
    </row>
    <row r="177" s="47" customFormat="true" ht="13.5" hidden="false" customHeight="false" outlineLevel="0" collapsed="false">
      <c r="A177" s="1"/>
    </row>
    <row r="178" s="47" customFormat="true" ht="13.5" hidden="false" customHeight="false" outlineLevel="0" collapsed="false">
      <c r="A178" s="1"/>
    </row>
    <row r="179" s="47" customFormat="true" ht="13.5" hidden="false" customHeight="false" outlineLevel="0" collapsed="false">
      <c r="A179" s="1"/>
    </row>
    <row r="180" s="47" customFormat="true" ht="13.5" hidden="false" customHeight="false" outlineLevel="0" collapsed="false">
      <c r="A180" s="1"/>
    </row>
    <row r="181" s="47" customFormat="true" ht="13.5" hidden="false" customHeight="false" outlineLevel="0" collapsed="false">
      <c r="A181" s="1"/>
    </row>
    <row r="182" s="47" customFormat="true" ht="13.5" hidden="false" customHeight="false" outlineLevel="0" collapsed="false">
      <c r="A182" s="1"/>
    </row>
    <row r="183" s="47" customFormat="true" ht="13.5" hidden="false" customHeight="false" outlineLevel="0" collapsed="false">
      <c r="A183" s="1"/>
    </row>
    <row r="184" s="47" customFormat="true" ht="13.5" hidden="false" customHeight="false" outlineLevel="0" collapsed="false">
      <c r="A184" s="1"/>
    </row>
    <row r="185" s="47" customFormat="true" ht="13.5" hidden="false" customHeight="false" outlineLevel="0" collapsed="false">
      <c r="A185" s="1"/>
    </row>
    <row r="186" s="47" customFormat="true" ht="13.5" hidden="false" customHeight="false" outlineLevel="0" collapsed="false">
      <c r="A186" s="1"/>
    </row>
    <row r="187" s="47" customFormat="true" ht="13.5" hidden="false" customHeight="false" outlineLevel="0" collapsed="false">
      <c r="A187" s="1"/>
    </row>
    <row r="188" s="47" customFormat="true" ht="13.5" hidden="false" customHeight="false" outlineLevel="0" collapsed="false">
      <c r="A188" s="1"/>
    </row>
    <row r="189" s="47" customFormat="true" ht="13.5" hidden="false" customHeight="false" outlineLevel="0" collapsed="false">
      <c r="A189" s="1"/>
    </row>
    <row r="190" s="47" customFormat="true" ht="13.5" hidden="false" customHeight="false" outlineLevel="0" collapsed="false">
      <c r="A190" s="1"/>
    </row>
    <row r="191" s="47" customFormat="true" ht="13.5" hidden="false" customHeight="false" outlineLevel="0" collapsed="false">
      <c r="A191" s="1"/>
    </row>
    <row r="192" s="47" customFormat="true" ht="13.5" hidden="false" customHeight="false" outlineLevel="0" collapsed="false">
      <c r="A192" s="1"/>
    </row>
    <row r="193" s="47" customFormat="true" ht="13.5" hidden="false" customHeight="false" outlineLevel="0" collapsed="false">
      <c r="A193" s="1"/>
    </row>
    <row r="194" s="47" customFormat="true" ht="13.5" hidden="false" customHeight="false" outlineLevel="0" collapsed="false">
      <c r="A194" s="1"/>
    </row>
    <row r="195" s="47" customFormat="true" ht="13.5" hidden="false" customHeight="false" outlineLevel="0" collapsed="false">
      <c r="A195" s="1"/>
    </row>
    <row r="196" s="47" customFormat="true" ht="13.5" hidden="false" customHeight="false" outlineLevel="0" collapsed="false">
      <c r="A196" s="1"/>
    </row>
    <row r="197" s="47" customFormat="true" ht="13.5" hidden="false" customHeight="false" outlineLevel="0" collapsed="false">
      <c r="A197" s="1"/>
    </row>
    <row r="198" s="47" customFormat="true" ht="13.5" hidden="false" customHeight="false" outlineLevel="0" collapsed="false">
      <c r="A198" s="1"/>
    </row>
    <row r="199" s="47" customFormat="true" ht="13.5" hidden="false" customHeight="false" outlineLevel="0" collapsed="false">
      <c r="A199" s="1"/>
    </row>
    <row r="200" s="47" customFormat="true" ht="13.5" hidden="false" customHeight="false" outlineLevel="0" collapsed="false">
      <c r="A200" s="1"/>
    </row>
    <row r="201" s="47" customFormat="true" ht="13.5" hidden="false" customHeight="false" outlineLevel="0" collapsed="false">
      <c r="A201" s="1"/>
    </row>
    <row r="202" s="47" customFormat="true" ht="13.5" hidden="false" customHeight="false" outlineLevel="0" collapsed="false">
      <c r="A202" s="1"/>
    </row>
    <row r="203" s="47" customFormat="true" ht="13.5" hidden="false" customHeight="false" outlineLevel="0" collapsed="false">
      <c r="A203" s="1"/>
    </row>
    <row r="204" s="47" customFormat="true" ht="13.5" hidden="false" customHeight="false" outlineLevel="0" collapsed="false">
      <c r="A204" s="1"/>
    </row>
    <row r="205" s="47" customFormat="true" ht="13.5" hidden="false" customHeight="false" outlineLevel="0" collapsed="false">
      <c r="A205" s="1"/>
    </row>
    <row r="206" s="47" customFormat="true" ht="13.5" hidden="false" customHeight="false" outlineLevel="0" collapsed="false">
      <c r="A206" s="1"/>
    </row>
    <row r="207" s="47" customFormat="true" ht="13.5" hidden="false" customHeight="false" outlineLevel="0" collapsed="false">
      <c r="A207" s="1"/>
    </row>
    <row r="208" s="47" customFormat="true" ht="13.5" hidden="false" customHeight="false" outlineLevel="0" collapsed="false">
      <c r="A208" s="1"/>
    </row>
    <row r="209" s="47" customFormat="true" ht="13.5" hidden="false" customHeight="false" outlineLevel="0" collapsed="false">
      <c r="A209" s="1"/>
    </row>
    <row r="210" s="47" customFormat="true" ht="13.5" hidden="false" customHeight="false" outlineLevel="0" collapsed="false">
      <c r="A210" s="1"/>
    </row>
    <row r="211" s="47" customFormat="true" ht="13.5" hidden="false" customHeight="false" outlineLevel="0" collapsed="false">
      <c r="A211" s="1"/>
    </row>
    <row r="212" s="47" customFormat="true" ht="13.5" hidden="false" customHeight="false" outlineLevel="0" collapsed="false">
      <c r="A212" s="1"/>
    </row>
    <row r="213" s="47" customFormat="true" ht="13.5" hidden="false" customHeight="false" outlineLevel="0" collapsed="false">
      <c r="A213" s="1"/>
    </row>
    <row r="214" s="47" customFormat="true" ht="13.5" hidden="false" customHeight="false" outlineLevel="0" collapsed="false">
      <c r="A214" s="1"/>
    </row>
    <row r="215" s="47" customFormat="true" ht="13.5" hidden="false" customHeight="false" outlineLevel="0" collapsed="false">
      <c r="A215" s="1"/>
    </row>
    <row r="216" s="47" customFormat="true" ht="13.5" hidden="false" customHeight="false" outlineLevel="0" collapsed="false">
      <c r="A216" s="1"/>
    </row>
    <row r="217" s="47" customFormat="true" ht="13.5" hidden="false" customHeight="false" outlineLevel="0" collapsed="false">
      <c r="A217" s="1"/>
    </row>
    <row r="218" s="47" customFormat="true" ht="13.5" hidden="false" customHeight="false" outlineLevel="0" collapsed="false">
      <c r="A218" s="1"/>
    </row>
    <row r="219" s="47" customFormat="true" ht="13.5" hidden="false" customHeight="false" outlineLevel="0" collapsed="false">
      <c r="A219" s="1"/>
    </row>
    <row r="220" s="47" customFormat="true" ht="13.5" hidden="false" customHeight="false" outlineLevel="0" collapsed="false">
      <c r="A220" s="1"/>
    </row>
    <row r="221" s="47" customFormat="true" ht="13.5" hidden="false" customHeight="false" outlineLevel="0" collapsed="false">
      <c r="A221" s="1"/>
    </row>
    <row r="222" s="47" customFormat="true" ht="13.5" hidden="false" customHeight="false" outlineLevel="0" collapsed="false">
      <c r="A222" s="1"/>
    </row>
    <row r="223" s="47" customFormat="true" ht="13.5" hidden="false" customHeight="false" outlineLevel="0" collapsed="false">
      <c r="A223" s="1"/>
    </row>
    <row r="224" s="47" customFormat="true" ht="13.5" hidden="false" customHeight="false" outlineLevel="0" collapsed="false">
      <c r="A224" s="1"/>
    </row>
    <row r="225" s="47" customFormat="true" ht="13.5" hidden="false" customHeight="false" outlineLevel="0" collapsed="false">
      <c r="A225" s="1"/>
    </row>
    <row r="226" s="47" customFormat="true" ht="13.5" hidden="false" customHeight="false" outlineLevel="0" collapsed="false">
      <c r="A226" s="1"/>
    </row>
    <row r="227" s="47" customFormat="true" ht="13.5" hidden="false" customHeight="false" outlineLevel="0" collapsed="false">
      <c r="A227" s="1"/>
    </row>
    <row r="228" s="47" customFormat="true" ht="13.5" hidden="false" customHeight="false" outlineLevel="0" collapsed="false">
      <c r="A228" s="1"/>
    </row>
    <row r="229" s="47" customFormat="true" ht="13.5" hidden="false" customHeight="false" outlineLevel="0" collapsed="false">
      <c r="A229" s="1"/>
    </row>
    <row r="230" s="47" customFormat="true" ht="13.5" hidden="false" customHeight="false" outlineLevel="0" collapsed="false">
      <c r="A230" s="1"/>
    </row>
    <row r="231" s="47" customFormat="true" ht="13.5" hidden="false" customHeight="false" outlineLevel="0" collapsed="false">
      <c r="A231" s="1"/>
    </row>
    <row r="232" s="47" customFormat="true" ht="13.5" hidden="false" customHeight="false" outlineLevel="0" collapsed="false">
      <c r="A232" s="1"/>
    </row>
    <row r="233" s="47" customFormat="true" ht="13.5" hidden="false" customHeight="false" outlineLevel="0" collapsed="false">
      <c r="A233" s="1"/>
    </row>
    <row r="234" s="47" customFormat="true" ht="13.5" hidden="false" customHeight="false" outlineLevel="0" collapsed="false">
      <c r="A234" s="1"/>
    </row>
  </sheetData>
  <mergeCells count="8">
    <mergeCell ref="A1:K1"/>
    <mergeCell ref="A2:A4"/>
    <mergeCell ref="B2:B4"/>
    <mergeCell ref="C2:C4"/>
    <mergeCell ref="G2:G4"/>
    <mergeCell ref="K2:K4"/>
    <mergeCell ref="D3:F3"/>
    <mergeCell ref="H3:J3"/>
  </mergeCells>
  <printOptions headings="false" gridLines="false" gridLinesSet="true" horizontalCentered="true" verticalCentered="true"/>
  <pageMargins left="0.39375" right="0.39375" top="0.590277777777778" bottom="0.59027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A23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G31" activeCellId="0" sqref="G31"/>
    </sheetView>
  </sheetViews>
  <sheetFormatPr defaultColWidth="8.99609375" defaultRowHeight="13.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1.37"/>
    <col collapsed="false" customWidth="true" hidden="false" outlineLevel="0" max="3" min="3" style="1" width="10.12"/>
    <col collapsed="false" customWidth="true" hidden="false" outlineLevel="0" max="6" min="4" style="1" width="6.37"/>
    <col collapsed="false" customWidth="true" hidden="false" outlineLevel="0" max="7" min="7" style="1" width="10.87"/>
    <col collapsed="false" customWidth="true" hidden="false" outlineLevel="0" max="10" min="8" style="1" width="6.37"/>
    <col collapsed="false" customWidth="true" hidden="false" outlineLevel="0" max="11" min="11" style="1" width="9.62"/>
    <col collapsed="false" customWidth="true" hidden="false" outlineLevel="0" max="12" min="12" style="1" width="4.62"/>
    <col collapsed="false" customWidth="true" hidden="false" outlineLevel="0" max="13" min="13" style="1" width="5.62"/>
    <col collapsed="false" customWidth="true" hidden="false" outlineLevel="0" max="14" min="14" style="1" width="4.62"/>
    <col collapsed="false" customWidth="true" hidden="false" outlineLevel="0" max="16" min="15" style="1" width="5.62"/>
    <col collapsed="false" customWidth="true" hidden="false" outlineLevel="0" max="17" min="17" style="1" width="4.62"/>
    <col collapsed="false" customWidth="true" hidden="false" outlineLevel="0" max="19" min="18" style="1" width="5.62"/>
    <col collapsed="false" customWidth="true" hidden="false" outlineLevel="0" max="20" min="20" style="1" width="4.62"/>
    <col collapsed="false" customWidth="true" hidden="false" outlineLevel="0" max="22" min="21" style="1" width="5.62"/>
    <col collapsed="false" customWidth="true" hidden="false" outlineLevel="0" max="23" min="23" style="1" width="4.62"/>
    <col collapsed="false" customWidth="true" hidden="false" outlineLevel="0" max="25" min="24" style="1" width="5.62"/>
    <col collapsed="false" customWidth="true" hidden="false" outlineLevel="0" max="26" min="26" style="1" width="4.62"/>
    <col collapsed="false" customWidth="true" hidden="false" outlineLevel="0" max="28" min="27" style="1" width="5.62"/>
    <col collapsed="false" customWidth="true" hidden="false" outlineLevel="0" max="29" min="29" style="1" width="4.62"/>
    <col collapsed="false" customWidth="true" hidden="false" outlineLevel="0" max="44" min="30" style="1" width="5.62"/>
    <col collapsed="false" customWidth="false" hidden="false" outlineLevel="0" max="257" min="45" style="1" width="8.99"/>
  </cols>
  <sheetData>
    <row r="1" customFormat="false" ht="28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/>
      <c r="B2" s="4" t="s">
        <v>1</v>
      </c>
      <c r="C2" s="5" t="s">
        <v>2</v>
      </c>
      <c r="D2" s="6"/>
      <c r="E2" s="6"/>
      <c r="F2" s="7"/>
      <c r="G2" s="8" t="s">
        <v>3</v>
      </c>
      <c r="H2" s="6"/>
      <c r="I2" s="6"/>
      <c r="J2" s="7"/>
      <c r="K2" s="9" t="s">
        <v>4</v>
      </c>
      <c r="X2" s="10"/>
      <c r="Y2" s="10"/>
      <c r="Z2" s="10"/>
      <c r="AA2" s="10"/>
    </row>
    <row r="3" customFormat="false" ht="12" hidden="false" customHeight="true" outlineLevel="0" collapsed="false">
      <c r="A3" s="3"/>
      <c r="B3" s="4"/>
      <c r="C3" s="5"/>
      <c r="D3" s="11" t="s">
        <v>5</v>
      </c>
      <c r="E3" s="11"/>
      <c r="F3" s="11"/>
      <c r="G3" s="8"/>
      <c r="H3" s="11" t="s">
        <v>5</v>
      </c>
      <c r="I3" s="11"/>
      <c r="J3" s="11"/>
      <c r="K3" s="9"/>
      <c r="X3" s="10"/>
      <c r="Y3" s="10"/>
      <c r="Z3" s="10"/>
      <c r="AA3" s="10"/>
    </row>
    <row r="4" customFormat="false" ht="12.75" hidden="false" customHeight="true" outlineLevel="0" collapsed="false">
      <c r="A4" s="3"/>
      <c r="B4" s="4"/>
      <c r="C4" s="5"/>
      <c r="D4" s="12" t="s">
        <v>6</v>
      </c>
      <c r="E4" s="12" t="s">
        <v>7</v>
      </c>
      <c r="F4" s="13" t="s">
        <v>8</v>
      </c>
      <c r="G4" s="8"/>
      <c r="H4" s="12" t="s">
        <v>6</v>
      </c>
      <c r="I4" s="12" t="s">
        <v>7</v>
      </c>
      <c r="J4" s="13" t="s">
        <v>8</v>
      </c>
      <c r="K4" s="9"/>
    </row>
    <row r="5" customFormat="false" ht="17.25" hidden="false" customHeight="false" outlineLevel="0" collapsed="false">
      <c r="A5" s="14" t="n">
        <v>1</v>
      </c>
      <c r="B5" s="15" t="s">
        <v>50</v>
      </c>
      <c r="C5" s="16" t="n">
        <v>79</v>
      </c>
      <c r="D5" s="17" t="n">
        <v>8</v>
      </c>
      <c r="E5" s="17" t="n">
        <v>70</v>
      </c>
      <c r="F5" s="18" t="n">
        <v>1</v>
      </c>
      <c r="G5" s="19" t="n">
        <f aca="false">H5+I5+J5</f>
        <v>21</v>
      </c>
      <c r="H5" s="20" t="n">
        <v>13</v>
      </c>
      <c r="I5" s="20" t="n">
        <v>8</v>
      </c>
      <c r="J5" s="21" t="n">
        <v>0</v>
      </c>
      <c r="K5" s="22" t="n">
        <f aca="false">(C5-G5)/C5</f>
        <v>0.734177215189873</v>
      </c>
    </row>
    <row r="6" customFormat="false" ht="17.25" hidden="false" customHeight="false" outlineLevel="0" collapsed="false">
      <c r="A6" s="23" t="n">
        <v>2</v>
      </c>
      <c r="B6" s="24" t="s">
        <v>42</v>
      </c>
      <c r="C6" s="25" t="n">
        <v>86</v>
      </c>
      <c r="D6" s="26" t="n">
        <v>13</v>
      </c>
      <c r="E6" s="26" t="n">
        <v>67</v>
      </c>
      <c r="F6" s="27" t="n">
        <v>6</v>
      </c>
      <c r="G6" s="28" t="n">
        <f aca="false">H6+I6+J6</f>
        <v>23</v>
      </c>
      <c r="H6" s="29" t="n">
        <v>14</v>
      </c>
      <c r="I6" s="29" t="n">
        <v>9</v>
      </c>
      <c r="J6" s="30" t="n">
        <v>0</v>
      </c>
      <c r="K6" s="31" t="n">
        <f aca="false">(C6-G6)/C6</f>
        <v>0.732558139534884</v>
      </c>
    </row>
    <row r="7" customFormat="false" ht="17.25" hidden="false" customHeight="false" outlineLevel="0" collapsed="false">
      <c r="A7" s="23" t="n">
        <v>3</v>
      </c>
      <c r="B7" s="24" t="s">
        <v>23</v>
      </c>
      <c r="C7" s="25" t="n">
        <v>112</v>
      </c>
      <c r="D7" s="26" t="n">
        <v>20</v>
      </c>
      <c r="E7" s="26" t="n">
        <v>57</v>
      </c>
      <c r="F7" s="27" t="n">
        <v>35</v>
      </c>
      <c r="G7" s="28" t="n">
        <f aca="false">H7+I7+J7</f>
        <v>30</v>
      </c>
      <c r="H7" s="29" t="n">
        <v>20</v>
      </c>
      <c r="I7" s="29" t="n">
        <v>6</v>
      </c>
      <c r="J7" s="30" t="n">
        <v>4</v>
      </c>
      <c r="K7" s="31" t="n">
        <f aca="false">(C7-G7)/C7</f>
        <v>0.732142857142857</v>
      </c>
    </row>
    <row r="8" customFormat="false" ht="17.25" hidden="false" customHeight="false" outlineLevel="0" collapsed="false">
      <c r="A8" s="23" t="n">
        <v>4</v>
      </c>
      <c r="B8" s="24" t="s">
        <v>46</v>
      </c>
      <c r="C8" s="25" t="n">
        <v>70</v>
      </c>
      <c r="D8" s="26" t="n">
        <v>12</v>
      </c>
      <c r="E8" s="26" t="n">
        <v>44</v>
      </c>
      <c r="F8" s="27" t="n">
        <v>14</v>
      </c>
      <c r="G8" s="28" t="n">
        <f aca="false">H8+I8+J8</f>
        <v>20</v>
      </c>
      <c r="H8" s="29" t="n">
        <v>11</v>
      </c>
      <c r="I8" s="29" t="n">
        <v>9</v>
      </c>
      <c r="J8" s="30" t="n">
        <v>0</v>
      </c>
      <c r="K8" s="31" t="n">
        <f aca="false">(C8-G8)/C8</f>
        <v>0.714285714285714</v>
      </c>
    </row>
    <row r="9" customFormat="false" ht="17.25" hidden="false" customHeight="false" outlineLevel="0" collapsed="false">
      <c r="A9" s="23" t="n">
        <v>5</v>
      </c>
      <c r="B9" s="24" t="s">
        <v>52</v>
      </c>
      <c r="C9" s="25" t="n">
        <v>58</v>
      </c>
      <c r="D9" s="26" t="n">
        <v>11</v>
      </c>
      <c r="E9" s="26" t="n">
        <v>36</v>
      </c>
      <c r="F9" s="27" t="n">
        <v>11</v>
      </c>
      <c r="G9" s="28" t="n">
        <f aca="false">H9+I9+J9</f>
        <v>18</v>
      </c>
      <c r="H9" s="29" t="n">
        <v>14</v>
      </c>
      <c r="I9" s="29" t="n">
        <v>3</v>
      </c>
      <c r="J9" s="30" t="n">
        <v>1</v>
      </c>
      <c r="K9" s="31" t="n">
        <f aca="false">(C9-G9)/C9</f>
        <v>0.689655172413793</v>
      </c>
    </row>
    <row r="10" customFormat="false" ht="17.25" hidden="false" customHeight="false" outlineLevel="0" collapsed="false">
      <c r="A10" s="23" t="n">
        <v>6</v>
      </c>
      <c r="B10" s="49" t="s">
        <v>40</v>
      </c>
      <c r="C10" s="50" t="n">
        <v>59</v>
      </c>
      <c r="D10" s="51" t="n">
        <v>8</v>
      </c>
      <c r="E10" s="51" t="n">
        <v>41</v>
      </c>
      <c r="F10" s="52" t="n">
        <v>10</v>
      </c>
      <c r="G10" s="53" t="n">
        <f aca="false">H10+I10+J10</f>
        <v>19</v>
      </c>
      <c r="H10" s="53" t="n">
        <v>8</v>
      </c>
      <c r="I10" s="53" t="n">
        <v>10</v>
      </c>
      <c r="J10" s="54" t="n">
        <v>1</v>
      </c>
      <c r="K10" s="55" t="n">
        <f aca="false">(C10-G10)/C10</f>
        <v>0.677966101694915</v>
      </c>
    </row>
    <row r="11" customFormat="false" ht="17.25" hidden="false" customHeight="false" outlineLevel="0" collapsed="false">
      <c r="A11" s="23" t="n">
        <v>7</v>
      </c>
      <c r="B11" s="49" t="s">
        <v>43</v>
      </c>
      <c r="C11" s="50" t="n">
        <v>56</v>
      </c>
      <c r="D11" s="51" t="n">
        <v>14</v>
      </c>
      <c r="E11" s="51" t="n">
        <v>37</v>
      </c>
      <c r="F11" s="52" t="n">
        <v>5</v>
      </c>
      <c r="G11" s="53" t="n">
        <v>19</v>
      </c>
      <c r="H11" s="53" t="n">
        <v>13</v>
      </c>
      <c r="I11" s="53" t="n">
        <v>6</v>
      </c>
      <c r="J11" s="54" t="n">
        <v>0</v>
      </c>
      <c r="K11" s="55" t="n">
        <v>0.661</v>
      </c>
    </row>
    <row r="12" customFormat="false" ht="17.25" hidden="false" customHeight="false" outlineLevel="0" collapsed="false">
      <c r="A12" s="23" t="n">
        <v>8</v>
      </c>
      <c r="B12" s="56" t="s">
        <v>41</v>
      </c>
      <c r="C12" s="57" t="n">
        <v>78</v>
      </c>
      <c r="D12" s="58" t="n">
        <v>10</v>
      </c>
      <c r="E12" s="58" t="n">
        <v>56</v>
      </c>
      <c r="F12" s="59" t="n">
        <v>12</v>
      </c>
      <c r="G12" s="60" t="n">
        <v>27</v>
      </c>
      <c r="H12" s="60" t="n">
        <v>15</v>
      </c>
      <c r="I12" s="60" t="n">
        <v>10</v>
      </c>
      <c r="J12" s="61" t="n">
        <v>2</v>
      </c>
      <c r="K12" s="62" t="n">
        <v>0.654</v>
      </c>
    </row>
    <row r="13" customFormat="false" ht="17.25" hidden="false" customHeight="false" outlineLevel="0" collapsed="false">
      <c r="A13" s="23" t="n">
        <v>9</v>
      </c>
      <c r="B13" s="24" t="s">
        <v>13</v>
      </c>
      <c r="C13" s="25" t="n">
        <v>69</v>
      </c>
      <c r="D13" s="26" t="n">
        <v>9</v>
      </c>
      <c r="E13" s="26" t="n">
        <v>50</v>
      </c>
      <c r="F13" s="27" t="n">
        <v>10</v>
      </c>
      <c r="G13" s="28" t="n">
        <f aca="false">H13+I13+J13</f>
        <v>25</v>
      </c>
      <c r="H13" s="29" t="n">
        <v>13</v>
      </c>
      <c r="I13" s="29" t="n">
        <v>9</v>
      </c>
      <c r="J13" s="30" t="n">
        <v>3</v>
      </c>
      <c r="K13" s="31" t="n">
        <f aca="false">(C13-G13)/C13</f>
        <v>0.63768115942029</v>
      </c>
    </row>
    <row r="14" customFormat="false" ht="17.25" hidden="false" customHeight="false" outlineLevel="0" collapsed="false">
      <c r="A14" s="23" t="n">
        <v>10</v>
      </c>
      <c r="B14" s="24" t="s">
        <v>33</v>
      </c>
      <c r="C14" s="25" t="n">
        <v>50</v>
      </c>
      <c r="D14" s="26" t="n">
        <v>7</v>
      </c>
      <c r="E14" s="26" t="n">
        <v>42</v>
      </c>
      <c r="F14" s="27" t="n">
        <v>1</v>
      </c>
      <c r="G14" s="28" t="n">
        <f aca="false">H14+I14+J14</f>
        <v>19</v>
      </c>
      <c r="H14" s="29" t="n">
        <v>13</v>
      </c>
      <c r="I14" s="29" t="n">
        <v>6</v>
      </c>
      <c r="J14" s="30" t="n">
        <v>0</v>
      </c>
      <c r="K14" s="31" t="n">
        <f aca="false">(C14-G14)/C14</f>
        <v>0.62</v>
      </c>
    </row>
    <row r="15" customFormat="false" ht="17.25" hidden="false" customHeight="false" outlineLevel="0" collapsed="false">
      <c r="A15" s="23" t="n">
        <v>11</v>
      </c>
      <c r="B15" s="24" t="s">
        <v>45</v>
      </c>
      <c r="C15" s="25" t="n">
        <v>43</v>
      </c>
      <c r="D15" s="26" t="n">
        <v>5</v>
      </c>
      <c r="E15" s="26" t="n">
        <v>38</v>
      </c>
      <c r="F15" s="27" t="n">
        <v>0</v>
      </c>
      <c r="G15" s="28" t="n">
        <f aca="false">H15+I15+J15</f>
        <v>17</v>
      </c>
      <c r="H15" s="29" t="n">
        <v>8</v>
      </c>
      <c r="I15" s="29" t="n">
        <v>9</v>
      </c>
      <c r="J15" s="30" t="n">
        <v>0</v>
      </c>
      <c r="K15" s="31" t="n">
        <f aca="false">(C15-G15)/C15</f>
        <v>0.604651162790698</v>
      </c>
    </row>
    <row r="16" customFormat="false" ht="17.25" hidden="false" customHeight="false" outlineLevel="0" collapsed="false">
      <c r="A16" s="23" t="n">
        <v>12</v>
      </c>
      <c r="B16" s="24" t="s">
        <v>49</v>
      </c>
      <c r="C16" s="25" t="n">
        <v>49</v>
      </c>
      <c r="D16" s="26" t="n">
        <v>7</v>
      </c>
      <c r="E16" s="26" t="n">
        <v>37</v>
      </c>
      <c r="F16" s="27" t="n">
        <v>5</v>
      </c>
      <c r="G16" s="28" t="n">
        <f aca="false">H16+I16+J16</f>
        <v>20</v>
      </c>
      <c r="H16" s="29" t="n">
        <v>10</v>
      </c>
      <c r="I16" s="29" t="n">
        <v>10</v>
      </c>
      <c r="J16" s="30" t="n">
        <v>0</v>
      </c>
      <c r="K16" s="31" t="n">
        <f aca="false">(C16-G16)/C16</f>
        <v>0.591836734693878</v>
      </c>
    </row>
    <row r="17" customFormat="false" ht="17.25" hidden="false" customHeight="false" outlineLevel="0" collapsed="false">
      <c r="A17" s="23" t="n">
        <v>13</v>
      </c>
      <c r="B17" s="24" t="s">
        <v>32</v>
      </c>
      <c r="C17" s="25" t="n">
        <v>69</v>
      </c>
      <c r="D17" s="26" t="n">
        <v>13</v>
      </c>
      <c r="E17" s="26" t="n">
        <v>47</v>
      </c>
      <c r="F17" s="27" t="n">
        <v>9</v>
      </c>
      <c r="G17" s="28" t="n">
        <f aca="false">H17+I17+J17</f>
        <v>29</v>
      </c>
      <c r="H17" s="29" t="n">
        <v>14</v>
      </c>
      <c r="I17" s="29" t="n">
        <v>15</v>
      </c>
      <c r="J17" s="30" t="n">
        <v>0</v>
      </c>
      <c r="K17" s="31" t="n">
        <f aca="false">(C17-G17)/C17</f>
        <v>0.579710144927536</v>
      </c>
    </row>
    <row r="18" customFormat="false" ht="17.25" hidden="false" customHeight="false" outlineLevel="0" collapsed="false">
      <c r="A18" s="23" t="n">
        <v>14</v>
      </c>
      <c r="B18" s="24" t="s">
        <v>27</v>
      </c>
      <c r="C18" s="25" t="n">
        <v>64</v>
      </c>
      <c r="D18" s="26" t="n">
        <v>7</v>
      </c>
      <c r="E18" s="26" t="n">
        <v>37</v>
      </c>
      <c r="F18" s="27" t="n">
        <v>20</v>
      </c>
      <c r="G18" s="28" t="n">
        <f aca="false">H18+I18+J18</f>
        <v>27</v>
      </c>
      <c r="H18" s="29" t="n">
        <v>13</v>
      </c>
      <c r="I18" s="29" t="n">
        <v>8</v>
      </c>
      <c r="J18" s="30" t="n">
        <v>6</v>
      </c>
      <c r="K18" s="31" t="n">
        <f aca="false">(C18-G18)/C18</f>
        <v>0.578125</v>
      </c>
    </row>
    <row r="19" customFormat="false" ht="17.25" hidden="false" customHeight="false" outlineLevel="0" collapsed="false">
      <c r="A19" s="23" t="n">
        <v>15</v>
      </c>
      <c r="B19" s="24" t="s">
        <v>29</v>
      </c>
      <c r="C19" s="25" t="n">
        <v>99</v>
      </c>
      <c r="D19" s="26" t="n">
        <v>14</v>
      </c>
      <c r="E19" s="26" t="n">
        <v>55</v>
      </c>
      <c r="F19" s="27" t="n">
        <v>30</v>
      </c>
      <c r="G19" s="28" t="n">
        <f aca="false">H19+I19+J19</f>
        <v>42</v>
      </c>
      <c r="H19" s="29" t="n">
        <v>21</v>
      </c>
      <c r="I19" s="29" t="n">
        <v>19</v>
      </c>
      <c r="J19" s="30" t="n">
        <v>2</v>
      </c>
      <c r="K19" s="31" t="n">
        <f aca="false">(C19-G19)/C19</f>
        <v>0.575757575757576</v>
      </c>
    </row>
    <row r="20" customFormat="false" ht="17.25" hidden="false" customHeight="false" outlineLevel="0" collapsed="false">
      <c r="A20" s="23" t="n">
        <v>16</v>
      </c>
      <c r="B20" s="24" t="s">
        <v>24</v>
      </c>
      <c r="C20" s="25" t="n">
        <v>35</v>
      </c>
      <c r="D20" s="26" t="n">
        <v>9</v>
      </c>
      <c r="E20" s="26" t="n">
        <v>18</v>
      </c>
      <c r="F20" s="27" t="n">
        <v>8</v>
      </c>
      <c r="G20" s="28" t="n">
        <f aca="false">H20+I20+J20</f>
        <v>15</v>
      </c>
      <c r="H20" s="29" t="n">
        <v>10</v>
      </c>
      <c r="I20" s="29" t="n">
        <v>4</v>
      </c>
      <c r="J20" s="30" t="n">
        <v>1</v>
      </c>
      <c r="K20" s="31" t="n">
        <f aca="false">(C20-G20)/C20</f>
        <v>0.571428571428571</v>
      </c>
    </row>
    <row r="21" customFormat="false" ht="17.25" hidden="false" customHeight="false" outlineLevel="0" collapsed="false">
      <c r="A21" s="23" t="n">
        <v>17</v>
      </c>
      <c r="B21" s="24" t="s">
        <v>54</v>
      </c>
      <c r="C21" s="25" t="n">
        <v>96</v>
      </c>
      <c r="D21" s="26" t="n">
        <v>14</v>
      </c>
      <c r="E21" s="26" t="n">
        <v>73</v>
      </c>
      <c r="F21" s="27" t="n">
        <v>9</v>
      </c>
      <c r="G21" s="28" t="n">
        <f aca="false">H21+I21+J21</f>
        <v>43</v>
      </c>
      <c r="H21" s="29" t="n">
        <v>19</v>
      </c>
      <c r="I21" s="29" t="n">
        <v>20</v>
      </c>
      <c r="J21" s="30" t="n">
        <v>4</v>
      </c>
      <c r="K21" s="31" t="n">
        <f aca="false">(C21-G21)/C21</f>
        <v>0.552083333333333</v>
      </c>
    </row>
    <row r="22" customFormat="false" ht="17.25" hidden="false" customHeight="false" outlineLevel="0" collapsed="false">
      <c r="A22" s="23" t="n">
        <v>18</v>
      </c>
      <c r="B22" s="24" t="s">
        <v>36</v>
      </c>
      <c r="C22" s="25" t="n">
        <v>91</v>
      </c>
      <c r="D22" s="26" t="n">
        <v>21</v>
      </c>
      <c r="E22" s="26" t="n">
        <v>70</v>
      </c>
      <c r="F22" s="27" t="n">
        <v>0</v>
      </c>
      <c r="G22" s="28" t="n">
        <f aca="false">H22+I22+J22</f>
        <v>41</v>
      </c>
      <c r="H22" s="29" t="n">
        <v>29</v>
      </c>
      <c r="I22" s="29" t="n">
        <v>12</v>
      </c>
      <c r="J22" s="30" t="n">
        <v>0</v>
      </c>
      <c r="K22" s="31" t="n">
        <f aca="false">(C22-G22)/C22</f>
        <v>0.54945054945055</v>
      </c>
    </row>
    <row r="23" customFormat="false" ht="17.25" hidden="false" customHeight="false" outlineLevel="0" collapsed="false">
      <c r="A23" s="23" t="n">
        <v>19</v>
      </c>
      <c r="B23" s="24" t="s">
        <v>25</v>
      </c>
      <c r="C23" s="25" t="n">
        <v>41</v>
      </c>
      <c r="D23" s="26" t="n">
        <v>8</v>
      </c>
      <c r="E23" s="26" t="n">
        <v>27</v>
      </c>
      <c r="F23" s="27" t="n">
        <v>6</v>
      </c>
      <c r="G23" s="28" t="n">
        <f aca="false">H23+I23+J23</f>
        <v>19</v>
      </c>
      <c r="H23" s="29" t="n">
        <v>11</v>
      </c>
      <c r="I23" s="29" t="n">
        <v>8</v>
      </c>
      <c r="J23" s="30" t="n">
        <v>0</v>
      </c>
      <c r="K23" s="31" t="n">
        <f aca="false">(C23-G23)/C23</f>
        <v>0.536585365853659</v>
      </c>
    </row>
    <row r="24" customFormat="false" ht="17.25" hidden="false" customHeight="false" outlineLevel="0" collapsed="false">
      <c r="A24" s="23" t="n">
        <v>20</v>
      </c>
      <c r="B24" s="24" t="s">
        <v>30</v>
      </c>
      <c r="C24" s="25" t="n">
        <v>74</v>
      </c>
      <c r="D24" s="26" t="n">
        <v>21</v>
      </c>
      <c r="E24" s="26" t="n">
        <v>49</v>
      </c>
      <c r="F24" s="27" t="n">
        <v>4</v>
      </c>
      <c r="G24" s="28" t="n">
        <f aca="false">H24+I24+J24</f>
        <v>35</v>
      </c>
      <c r="H24" s="29" t="n">
        <v>23</v>
      </c>
      <c r="I24" s="29" t="n">
        <v>12</v>
      </c>
      <c r="J24" s="30" t="n">
        <v>0</v>
      </c>
      <c r="K24" s="31" t="n">
        <f aca="false">(C24-G24)/C24</f>
        <v>0.527027027027027</v>
      </c>
    </row>
    <row r="25" customFormat="false" ht="17.25" hidden="false" customHeight="false" outlineLevel="0" collapsed="false">
      <c r="A25" s="23" t="n">
        <v>21</v>
      </c>
      <c r="B25" s="24" t="s">
        <v>51</v>
      </c>
      <c r="C25" s="25" t="n">
        <v>94</v>
      </c>
      <c r="D25" s="26" t="n">
        <v>11</v>
      </c>
      <c r="E25" s="26" t="n">
        <v>62</v>
      </c>
      <c r="F25" s="27" t="n">
        <v>21</v>
      </c>
      <c r="G25" s="28" t="n">
        <f aca="false">H25+I25+J25</f>
        <v>45</v>
      </c>
      <c r="H25" s="29" t="n">
        <v>14</v>
      </c>
      <c r="I25" s="29" t="n">
        <v>23</v>
      </c>
      <c r="J25" s="30" t="n">
        <v>8</v>
      </c>
      <c r="K25" s="31" t="n">
        <f aca="false">(C25-G25)/C25</f>
        <v>0.521276595744681</v>
      </c>
    </row>
    <row r="26" customFormat="false" ht="17.25" hidden="false" customHeight="false" outlineLevel="0" collapsed="false">
      <c r="A26" s="23" t="n">
        <v>22</v>
      </c>
      <c r="B26" s="24" t="s">
        <v>44</v>
      </c>
      <c r="C26" s="25" t="n">
        <v>50</v>
      </c>
      <c r="D26" s="26" t="n">
        <v>4</v>
      </c>
      <c r="E26" s="26" t="n">
        <v>38</v>
      </c>
      <c r="F26" s="27" t="n">
        <v>8</v>
      </c>
      <c r="G26" s="28" t="n">
        <f aca="false">H26+I26+J26</f>
        <v>24</v>
      </c>
      <c r="H26" s="29" t="n">
        <v>8</v>
      </c>
      <c r="I26" s="29" t="n">
        <v>15</v>
      </c>
      <c r="J26" s="30" t="n">
        <v>1</v>
      </c>
      <c r="K26" s="31" t="n">
        <f aca="false">(C26-G26)/C26</f>
        <v>0.52</v>
      </c>
    </row>
    <row r="27" customFormat="false" ht="17.25" hidden="false" customHeight="false" outlineLevel="0" collapsed="false">
      <c r="A27" s="23" t="n">
        <v>23</v>
      </c>
      <c r="B27" s="24" t="s">
        <v>26</v>
      </c>
      <c r="C27" s="25" t="n">
        <v>35</v>
      </c>
      <c r="D27" s="26" t="n">
        <v>7</v>
      </c>
      <c r="E27" s="26" t="n">
        <v>22</v>
      </c>
      <c r="F27" s="27" t="n">
        <v>6</v>
      </c>
      <c r="G27" s="28" t="n">
        <f aca="false">H27+I27+J27</f>
        <v>17</v>
      </c>
      <c r="H27" s="29" t="n">
        <v>9</v>
      </c>
      <c r="I27" s="29" t="n">
        <v>8</v>
      </c>
      <c r="J27" s="30" t="n">
        <v>0</v>
      </c>
      <c r="K27" s="31" t="n">
        <f aca="false">(C27-G27)/C27</f>
        <v>0.514285714285714</v>
      </c>
    </row>
    <row r="28" customFormat="false" ht="17.25" hidden="false" customHeight="false" outlineLevel="0" collapsed="false">
      <c r="A28" s="23" t="n">
        <v>24</v>
      </c>
      <c r="B28" s="24" t="s">
        <v>39</v>
      </c>
      <c r="C28" s="25" t="n">
        <v>39</v>
      </c>
      <c r="D28" s="26" t="n">
        <v>4</v>
      </c>
      <c r="E28" s="26" t="n">
        <v>31</v>
      </c>
      <c r="F28" s="27" t="n">
        <v>4</v>
      </c>
      <c r="G28" s="28" t="n">
        <f aca="false">H28+I28+J28</f>
        <v>19</v>
      </c>
      <c r="H28" s="29" t="n">
        <v>4</v>
      </c>
      <c r="I28" s="29" t="n">
        <v>14</v>
      </c>
      <c r="J28" s="30" t="n">
        <v>1</v>
      </c>
      <c r="K28" s="31" t="n">
        <f aca="false">(C28-G28)/C28</f>
        <v>0.512820512820513</v>
      </c>
    </row>
    <row r="29" customFormat="false" ht="17.25" hidden="false" customHeight="false" outlineLevel="0" collapsed="false">
      <c r="A29" s="23" t="n">
        <v>25</v>
      </c>
      <c r="B29" s="24" t="s">
        <v>12</v>
      </c>
      <c r="C29" s="25" t="n">
        <v>71</v>
      </c>
      <c r="D29" s="26" t="n">
        <v>10</v>
      </c>
      <c r="E29" s="26" t="n">
        <v>59</v>
      </c>
      <c r="F29" s="27" t="n">
        <v>2</v>
      </c>
      <c r="G29" s="28" t="n">
        <f aca="false">H29+I29+J29</f>
        <v>35</v>
      </c>
      <c r="H29" s="29" t="n">
        <v>13</v>
      </c>
      <c r="I29" s="29" t="n">
        <v>21</v>
      </c>
      <c r="J29" s="30" t="n">
        <v>1</v>
      </c>
      <c r="K29" s="31" t="n">
        <f aca="false">(C29-G29)/C29</f>
        <v>0.507042253521127</v>
      </c>
    </row>
    <row r="30" customFormat="false" ht="17.25" hidden="false" customHeight="false" outlineLevel="0" collapsed="false">
      <c r="A30" s="23" t="n">
        <v>26</v>
      </c>
      <c r="B30" s="24" t="s">
        <v>18</v>
      </c>
      <c r="C30" s="25" t="n">
        <v>70</v>
      </c>
      <c r="D30" s="26" t="n">
        <v>11</v>
      </c>
      <c r="E30" s="26" t="n">
        <v>33</v>
      </c>
      <c r="F30" s="27" t="n">
        <v>26</v>
      </c>
      <c r="G30" s="28" t="n">
        <f aca="false">H30+I30+J30</f>
        <v>35</v>
      </c>
      <c r="H30" s="29" t="n">
        <v>12</v>
      </c>
      <c r="I30" s="29" t="n">
        <v>15</v>
      </c>
      <c r="J30" s="30" t="n">
        <v>8</v>
      </c>
      <c r="K30" s="31" t="n">
        <f aca="false">(C30-G30)/C30</f>
        <v>0.5</v>
      </c>
    </row>
    <row r="31" customFormat="false" ht="17.25" hidden="false" customHeight="false" outlineLevel="0" collapsed="false">
      <c r="A31" s="23" t="n">
        <v>27</v>
      </c>
      <c r="B31" s="24" t="s">
        <v>17</v>
      </c>
      <c r="C31" s="25" t="n">
        <v>49</v>
      </c>
      <c r="D31" s="26" t="n">
        <v>12</v>
      </c>
      <c r="E31" s="26" t="n">
        <v>35</v>
      </c>
      <c r="F31" s="27" t="n">
        <v>2</v>
      </c>
      <c r="G31" s="28" t="n">
        <v>25</v>
      </c>
      <c r="H31" s="29" t="n">
        <v>14</v>
      </c>
      <c r="I31" s="29" t="n">
        <v>11</v>
      </c>
      <c r="J31" s="30" t="n">
        <v>0</v>
      </c>
      <c r="K31" s="31" t="n">
        <v>0.489795918367347</v>
      </c>
    </row>
    <row r="32" customFormat="false" ht="17.25" hidden="false" customHeight="false" outlineLevel="0" collapsed="false">
      <c r="A32" s="23" t="n">
        <v>28</v>
      </c>
      <c r="B32" s="24" t="s">
        <v>16</v>
      </c>
      <c r="C32" s="25" t="n">
        <v>85</v>
      </c>
      <c r="D32" s="26" t="n">
        <v>20</v>
      </c>
      <c r="E32" s="26" t="n">
        <v>48</v>
      </c>
      <c r="F32" s="27" t="n">
        <v>17</v>
      </c>
      <c r="G32" s="28" t="n">
        <f aca="false">H32+I32+J32</f>
        <v>44</v>
      </c>
      <c r="H32" s="29" t="n">
        <v>32</v>
      </c>
      <c r="I32" s="29" t="n">
        <v>10</v>
      </c>
      <c r="J32" s="30" t="n">
        <v>2</v>
      </c>
      <c r="K32" s="31" t="n">
        <f aca="false">(C32-G32)/C32</f>
        <v>0.482352941176471</v>
      </c>
    </row>
    <row r="33" customFormat="false" ht="17.25" hidden="false" customHeight="false" outlineLevel="0" collapsed="false">
      <c r="A33" s="23" t="n">
        <v>29</v>
      </c>
      <c r="B33" s="24" t="s">
        <v>11</v>
      </c>
      <c r="C33" s="25" t="n">
        <v>59</v>
      </c>
      <c r="D33" s="26" t="n">
        <v>13</v>
      </c>
      <c r="E33" s="26" t="n">
        <v>30</v>
      </c>
      <c r="F33" s="27" t="n">
        <v>16</v>
      </c>
      <c r="G33" s="28" t="n">
        <f aca="false">H33+I33+J33</f>
        <v>33</v>
      </c>
      <c r="H33" s="29" t="n">
        <v>14</v>
      </c>
      <c r="I33" s="29" t="n">
        <v>15</v>
      </c>
      <c r="J33" s="30" t="n">
        <v>4</v>
      </c>
      <c r="K33" s="31" t="n">
        <f aca="false">(C33-G33)/C33</f>
        <v>0.440677966101695</v>
      </c>
    </row>
    <row r="34" customFormat="false" ht="17.25" hidden="false" customHeight="false" outlineLevel="0" collapsed="false">
      <c r="A34" s="23" t="n">
        <v>30</v>
      </c>
      <c r="B34" s="24" t="s">
        <v>34</v>
      </c>
      <c r="C34" s="25" t="n">
        <v>44</v>
      </c>
      <c r="D34" s="26" t="n">
        <v>12</v>
      </c>
      <c r="E34" s="26" t="n">
        <v>31</v>
      </c>
      <c r="F34" s="27" t="n">
        <v>1</v>
      </c>
      <c r="G34" s="28" t="n">
        <f aca="false">H34+I34+J34</f>
        <v>26</v>
      </c>
      <c r="H34" s="29" t="n">
        <v>15</v>
      </c>
      <c r="I34" s="29" t="n">
        <v>10</v>
      </c>
      <c r="J34" s="30" t="n">
        <v>1</v>
      </c>
      <c r="K34" s="31" t="n">
        <f aca="false">(C34-G34)/C34</f>
        <v>0.409090909090909</v>
      </c>
    </row>
    <row r="35" customFormat="false" ht="17.25" hidden="false" customHeight="false" outlineLevel="0" collapsed="false">
      <c r="A35" s="23" t="n">
        <v>31</v>
      </c>
      <c r="B35" s="24" t="s">
        <v>53</v>
      </c>
      <c r="C35" s="25" t="n">
        <v>44</v>
      </c>
      <c r="D35" s="26" t="n">
        <v>9</v>
      </c>
      <c r="E35" s="26" t="n">
        <v>28</v>
      </c>
      <c r="F35" s="27" t="n">
        <v>7</v>
      </c>
      <c r="G35" s="28" t="n">
        <f aca="false">H35+I35+J35</f>
        <v>26</v>
      </c>
      <c r="H35" s="29" t="n">
        <v>9</v>
      </c>
      <c r="I35" s="29" t="n">
        <v>14</v>
      </c>
      <c r="J35" s="30" t="n">
        <v>3</v>
      </c>
      <c r="K35" s="31" t="n">
        <f aca="false">(C35-G35)/C35</f>
        <v>0.409090909090909</v>
      </c>
    </row>
    <row r="36" customFormat="false" ht="17.25" hidden="false" customHeight="false" outlineLevel="0" collapsed="false">
      <c r="A36" s="23" t="n">
        <v>32</v>
      </c>
      <c r="B36" s="24" t="s">
        <v>10</v>
      </c>
      <c r="C36" s="25" t="n">
        <v>67</v>
      </c>
      <c r="D36" s="26" t="n">
        <v>8</v>
      </c>
      <c r="E36" s="26" t="n">
        <v>34</v>
      </c>
      <c r="F36" s="27" t="n">
        <v>25</v>
      </c>
      <c r="G36" s="28" t="n">
        <f aca="false">H36+I36+J36</f>
        <v>40</v>
      </c>
      <c r="H36" s="29" t="n">
        <v>10</v>
      </c>
      <c r="I36" s="29" t="n">
        <v>22</v>
      </c>
      <c r="J36" s="30" t="n">
        <v>8</v>
      </c>
      <c r="K36" s="31" t="n">
        <f aca="false">(C36-G36)/C36</f>
        <v>0.402985074626866</v>
      </c>
    </row>
    <row r="37" customFormat="false" ht="17.25" hidden="false" customHeight="false" outlineLevel="0" collapsed="false">
      <c r="A37" s="23" t="n">
        <v>33</v>
      </c>
      <c r="B37" s="24" t="s">
        <v>38</v>
      </c>
      <c r="C37" s="25" t="n">
        <v>50</v>
      </c>
      <c r="D37" s="26" t="n">
        <v>7</v>
      </c>
      <c r="E37" s="26" t="n">
        <v>36</v>
      </c>
      <c r="F37" s="27" t="n">
        <v>7</v>
      </c>
      <c r="G37" s="28" t="n">
        <f aca="false">H37+I37+J37</f>
        <v>30</v>
      </c>
      <c r="H37" s="29" t="n">
        <v>9</v>
      </c>
      <c r="I37" s="29" t="n">
        <v>20</v>
      </c>
      <c r="J37" s="30" t="n">
        <v>1</v>
      </c>
      <c r="K37" s="31" t="n">
        <f aca="false">(C37-G37)/C37</f>
        <v>0.4</v>
      </c>
    </row>
    <row r="38" customFormat="false" ht="17.25" hidden="false" customHeight="false" outlineLevel="0" collapsed="false">
      <c r="A38" s="23" t="n">
        <v>34</v>
      </c>
      <c r="B38" s="49" t="s">
        <v>31</v>
      </c>
      <c r="C38" s="50" t="n">
        <v>88</v>
      </c>
      <c r="D38" s="51" t="n">
        <v>31</v>
      </c>
      <c r="E38" s="51" t="n">
        <v>47</v>
      </c>
      <c r="F38" s="52" t="n">
        <v>10</v>
      </c>
      <c r="G38" s="53" t="n">
        <v>54</v>
      </c>
      <c r="H38" s="53" t="n">
        <v>38</v>
      </c>
      <c r="I38" s="53" t="n">
        <v>14</v>
      </c>
      <c r="J38" s="54" t="n">
        <v>2</v>
      </c>
      <c r="K38" s="55" t="n">
        <v>0.386</v>
      </c>
    </row>
    <row r="39" customFormat="false" ht="17.25" hidden="false" customHeight="false" outlineLevel="0" collapsed="false">
      <c r="A39" s="23" t="n">
        <v>35</v>
      </c>
      <c r="B39" s="49" t="s">
        <v>48</v>
      </c>
      <c r="C39" s="50" t="n">
        <v>97</v>
      </c>
      <c r="D39" s="51" t="n">
        <v>24</v>
      </c>
      <c r="E39" s="51" t="n">
        <v>65</v>
      </c>
      <c r="F39" s="52" t="n">
        <v>8</v>
      </c>
      <c r="G39" s="53" t="n">
        <v>60</v>
      </c>
      <c r="H39" s="53" t="n">
        <v>28</v>
      </c>
      <c r="I39" s="53" t="n">
        <v>30</v>
      </c>
      <c r="J39" s="54" t="n">
        <v>2</v>
      </c>
      <c r="K39" s="55" t="n">
        <v>0.381</v>
      </c>
    </row>
    <row r="40" customFormat="false" ht="17.25" hidden="false" customHeight="false" outlineLevel="0" collapsed="false">
      <c r="A40" s="23" t="n">
        <v>36</v>
      </c>
      <c r="B40" s="56" t="s">
        <v>47</v>
      </c>
      <c r="C40" s="57" t="n">
        <v>53</v>
      </c>
      <c r="D40" s="58" t="n">
        <v>9</v>
      </c>
      <c r="E40" s="58" t="n">
        <v>25</v>
      </c>
      <c r="F40" s="59" t="n">
        <v>19</v>
      </c>
      <c r="G40" s="60" t="n">
        <v>34</v>
      </c>
      <c r="H40" s="60" t="n">
        <v>11</v>
      </c>
      <c r="I40" s="60" t="n">
        <v>17</v>
      </c>
      <c r="J40" s="61" t="n">
        <v>6</v>
      </c>
      <c r="K40" s="62" t="n">
        <v>0.358</v>
      </c>
    </row>
    <row r="41" customFormat="false" ht="17.25" hidden="false" customHeight="false" outlineLevel="0" collapsed="false">
      <c r="A41" s="23" t="n">
        <v>37</v>
      </c>
      <c r="B41" s="56" t="s">
        <v>28</v>
      </c>
      <c r="C41" s="57" t="n">
        <v>120</v>
      </c>
      <c r="D41" s="58" t="n">
        <v>17</v>
      </c>
      <c r="E41" s="58" t="n">
        <v>36</v>
      </c>
      <c r="F41" s="59" t="n">
        <v>67</v>
      </c>
      <c r="G41" s="60" t="n">
        <v>77</v>
      </c>
      <c r="H41" s="60" t="n">
        <v>19</v>
      </c>
      <c r="I41" s="60" t="n">
        <v>23</v>
      </c>
      <c r="J41" s="61" t="n">
        <v>35</v>
      </c>
      <c r="K41" s="62" t="n">
        <v>0.358</v>
      </c>
    </row>
    <row r="42" customFormat="false" ht="17.25" hidden="false" customHeight="false" outlineLevel="0" collapsed="false">
      <c r="A42" s="23" t="n">
        <v>38</v>
      </c>
      <c r="B42" s="24" t="s">
        <v>15</v>
      </c>
      <c r="C42" s="25" t="n">
        <v>90</v>
      </c>
      <c r="D42" s="26" t="n">
        <v>10</v>
      </c>
      <c r="E42" s="26" t="n">
        <v>52</v>
      </c>
      <c r="F42" s="27" t="n">
        <v>28</v>
      </c>
      <c r="G42" s="28" t="n">
        <f aca="false">H42+I42+J42</f>
        <v>59</v>
      </c>
      <c r="H42" s="29" t="n">
        <v>13</v>
      </c>
      <c r="I42" s="29" t="n">
        <v>31</v>
      </c>
      <c r="J42" s="30" t="n">
        <v>15</v>
      </c>
      <c r="K42" s="31" t="n">
        <f aca="false">(C42-G42)/C42</f>
        <v>0.344444444444444</v>
      </c>
    </row>
    <row r="43" customFormat="false" ht="17.25" hidden="false" customHeight="false" outlineLevel="0" collapsed="false">
      <c r="A43" s="23" t="n">
        <v>39</v>
      </c>
      <c r="B43" s="24" t="s">
        <v>20</v>
      </c>
      <c r="C43" s="25" t="n">
        <v>80</v>
      </c>
      <c r="D43" s="26" t="n">
        <v>31</v>
      </c>
      <c r="E43" s="26" t="n">
        <v>44</v>
      </c>
      <c r="F43" s="27" t="n">
        <v>5</v>
      </c>
      <c r="G43" s="28" t="n">
        <f aca="false">H43+I43+J43</f>
        <v>54</v>
      </c>
      <c r="H43" s="29" t="n">
        <v>37</v>
      </c>
      <c r="I43" s="29" t="n">
        <v>16</v>
      </c>
      <c r="J43" s="30" t="n">
        <v>1</v>
      </c>
      <c r="K43" s="31" t="n">
        <f aca="false">(C43-G43)/C43</f>
        <v>0.325</v>
      </c>
    </row>
    <row r="44" customFormat="false" ht="17.25" hidden="false" customHeight="false" outlineLevel="0" collapsed="false">
      <c r="A44" s="23" t="n">
        <v>40</v>
      </c>
      <c r="B44" s="24" t="s">
        <v>19</v>
      </c>
      <c r="C44" s="25" t="n">
        <v>92</v>
      </c>
      <c r="D44" s="26" t="n">
        <v>43</v>
      </c>
      <c r="E44" s="26" t="n">
        <v>38</v>
      </c>
      <c r="F44" s="27" t="n">
        <v>11</v>
      </c>
      <c r="G44" s="28" t="n">
        <f aca="false">H44+I44+J44</f>
        <v>63</v>
      </c>
      <c r="H44" s="29" t="n">
        <v>40</v>
      </c>
      <c r="I44" s="29" t="n">
        <v>22</v>
      </c>
      <c r="J44" s="30" t="n">
        <v>1</v>
      </c>
      <c r="K44" s="31" t="n">
        <f aca="false">(C44-G44)/C44</f>
        <v>0.315217391304348</v>
      </c>
    </row>
    <row r="45" customFormat="false" ht="17.25" hidden="false" customHeight="false" outlineLevel="0" collapsed="false">
      <c r="A45" s="23" t="n">
        <v>41</v>
      </c>
      <c r="B45" s="24" t="s">
        <v>55</v>
      </c>
      <c r="C45" s="25" t="n">
        <v>53</v>
      </c>
      <c r="D45" s="26" t="n">
        <v>10</v>
      </c>
      <c r="E45" s="26" t="n">
        <v>16</v>
      </c>
      <c r="F45" s="27" t="n">
        <v>27</v>
      </c>
      <c r="G45" s="28" t="n">
        <f aca="false">H45+I45+J45</f>
        <v>41</v>
      </c>
      <c r="H45" s="29" t="n">
        <v>11</v>
      </c>
      <c r="I45" s="29" t="n">
        <v>11</v>
      </c>
      <c r="J45" s="30" t="n">
        <v>19</v>
      </c>
      <c r="K45" s="31" t="n">
        <f aca="false">(C45-G45)/C45</f>
        <v>0.226415094339623</v>
      </c>
    </row>
    <row r="46" customFormat="false" ht="17.25" hidden="false" customHeight="false" outlineLevel="0" collapsed="false">
      <c r="A46" s="23" t="n">
        <v>42</v>
      </c>
      <c r="B46" s="24" t="s">
        <v>14</v>
      </c>
      <c r="C46" s="25" t="n">
        <v>44</v>
      </c>
      <c r="D46" s="26" t="n">
        <v>13</v>
      </c>
      <c r="E46" s="26" t="n">
        <v>27</v>
      </c>
      <c r="F46" s="27" t="n">
        <v>4</v>
      </c>
      <c r="G46" s="28" t="n">
        <f aca="false">H46+I46+J46</f>
        <v>35</v>
      </c>
      <c r="H46" s="29" t="n">
        <v>13</v>
      </c>
      <c r="I46" s="29" t="n">
        <v>19</v>
      </c>
      <c r="J46" s="30" t="n">
        <v>3</v>
      </c>
      <c r="K46" s="31" t="n">
        <f aca="false">(C46-G46)/C46</f>
        <v>0.204545454545455</v>
      </c>
    </row>
    <row r="47" customFormat="false" ht="17.25" hidden="false" customHeight="false" outlineLevel="0" collapsed="false">
      <c r="A47" s="23" t="n">
        <v>43</v>
      </c>
      <c r="B47" s="24" t="s">
        <v>37</v>
      </c>
      <c r="C47" s="25" t="n">
        <v>47</v>
      </c>
      <c r="D47" s="26" t="n">
        <v>10</v>
      </c>
      <c r="E47" s="26" t="n">
        <v>20</v>
      </c>
      <c r="F47" s="27" t="n">
        <v>17</v>
      </c>
      <c r="G47" s="28" t="n">
        <f aca="false">H47+I47+J47</f>
        <v>39</v>
      </c>
      <c r="H47" s="29" t="n">
        <v>12</v>
      </c>
      <c r="I47" s="29" t="n">
        <v>15</v>
      </c>
      <c r="J47" s="30" t="n">
        <v>12</v>
      </c>
      <c r="K47" s="31" t="n">
        <f aca="false">(C47-G47)/C47</f>
        <v>0.170212765957447</v>
      </c>
    </row>
    <row r="48" customFormat="false" ht="17.25" hidden="false" customHeight="false" outlineLevel="0" collapsed="false">
      <c r="A48" s="23" t="n">
        <v>44</v>
      </c>
      <c r="B48" s="24" t="s">
        <v>9</v>
      </c>
      <c r="C48" s="25" t="n">
        <v>212</v>
      </c>
      <c r="D48" s="26" t="n">
        <v>34</v>
      </c>
      <c r="E48" s="26" t="n">
        <v>154</v>
      </c>
      <c r="F48" s="27" t="n">
        <v>24</v>
      </c>
      <c r="G48" s="28" t="n">
        <f aca="false">H48+I48+J48</f>
        <v>179</v>
      </c>
      <c r="H48" s="29" t="n">
        <v>35</v>
      </c>
      <c r="I48" s="29" t="n">
        <v>129</v>
      </c>
      <c r="J48" s="30" t="n">
        <v>15</v>
      </c>
      <c r="K48" s="31" t="n">
        <f aca="false">(C48-G48)/C48</f>
        <v>0.155660377358491</v>
      </c>
    </row>
    <row r="49" customFormat="false" ht="17.25" hidden="false" customHeight="false" outlineLevel="0" collapsed="false">
      <c r="A49" s="23" t="n">
        <v>45</v>
      </c>
      <c r="B49" s="24" t="s">
        <v>22</v>
      </c>
      <c r="C49" s="25" t="n">
        <v>37</v>
      </c>
      <c r="D49" s="26" t="n">
        <v>19</v>
      </c>
      <c r="E49" s="26" t="n">
        <v>17</v>
      </c>
      <c r="F49" s="27" t="n">
        <v>1</v>
      </c>
      <c r="G49" s="28" t="n">
        <f aca="false">H49+I49+J49</f>
        <v>33</v>
      </c>
      <c r="H49" s="29" t="n">
        <v>19</v>
      </c>
      <c r="I49" s="29" t="n">
        <v>13</v>
      </c>
      <c r="J49" s="30" t="n">
        <v>1</v>
      </c>
      <c r="K49" s="31" t="n">
        <f aca="false">(C49-G49)/C49</f>
        <v>0.108108108108108</v>
      </c>
    </row>
    <row r="50" customFormat="false" ht="17.25" hidden="false" customHeight="false" outlineLevel="0" collapsed="false">
      <c r="A50" s="23" t="n">
        <v>46</v>
      </c>
      <c r="B50" s="24" t="s">
        <v>21</v>
      </c>
      <c r="C50" s="25" t="n">
        <v>40</v>
      </c>
      <c r="D50" s="26" t="n">
        <v>27</v>
      </c>
      <c r="E50" s="26" t="n">
        <v>5</v>
      </c>
      <c r="F50" s="27" t="n">
        <v>8</v>
      </c>
      <c r="G50" s="28" t="n">
        <f aca="false">H50+I50+J50</f>
        <v>39</v>
      </c>
      <c r="H50" s="29" t="n">
        <v>26</v>
      </c>
      <c r="I50" s="29" t="n">
        <v>5</v>
      </c>
      <c r="J50" s="30" t="n">
        <v>8</v>
      </c>
      <c r="K50" s="31" t="n">
        <f aca="false">(C50-G50)/C50</f>
        <v>0.025</v>
      </c>
    </row>
    <row r="51" customFormat="false" ht="18" hidden="false" customHeight="false" outlineLevel="0" collapsed="false">
      <c r="A51" s="32" t="n">
        <v>47</v>
      </c>
      <c r="B51" s="33" t="s">
        <v>35</v>
      </c>
      <c r="C51" s="34" t="n">
        <v>44</v>
      </c>
      <c r="D51" s="35" t="n">
        <v>33</v>
      </c>
      <c r="E51" s="35" t="n">
        <v>10</v>
      </c>
      <c r="F51" s="36" t="n">
        <v>1</v>
      </c>
      <c r="G51" s="37" t="n">
        <f aca="false">H51+I51+J51</f>
        <v>43</v>
      </c>
      <c r="H51" s="38" t="n">
        <v>33</v>
      </c>
      <c r="I51" s="38" t="n">
        <v>9</v>
      </c>
      <c r="J51" s="39" t="n">
        <v>1</v>
      </c>
      <c r="K51" s="40" t="n">
        <f aca="false">(C51-G51)/C51</f>
        <v>0.0227272727272727</v>
      </c>
    </row>
    <row r="52" s="47" customFormat="true" ht="30.75" hidden="false" customHeight="true" outlineLevel="0" collapsed="false">
      <c r="A52" s="41"/>
      <c r="B52" s="41"/>
      <c r="C52" s="42" t="n">
        <f aca="false">SUM(C5:C51)</f>
        <v>3232</v>
      </c>
      <c r="D52" s="43" t="n">
        <f aca="false">SUM(D5:D51)</f>
        <v>670</v>
      </c>
      <c r="E52" s="44" t="n">
        <f aca="false">SUM(E5:E51)</f>
        <v>1994</v>
      </c>
      <c r="F52" s="45" t="n">
        <f aca="false">SUM(F5:F51)</f>
        <v>568</v>
      </c>
      <c r="G52" s="42" t="n">
        <f aca="false">SUM(G5:G51)</f>
        <v>1718</v>
      </c>
      <c r="H52" s="43" t="n">
        <f aca="false">SUM(H5:H51)</f>
        <v>790</v>
      </c>
      <c r="I52" s="43" t="n">
        <f aca="false">SUM(I5:I51)</f>
        <v>745</v>
      </c>
      <c r="J52" s="45" t="n">
        <f aca="false">SUM(J5:J51)</f>
        <v>183</v>
      </c>
      <c r="K52" s="46" t="n">
        <f aca="false">(C52-G52)/C52</f>
        <v>0.468440594059406</v>
      </c>
      <c r="M52" s="1"/>
      <c r="N52" s="1"/>
      <c r="O52" s="1"/>
      <c r="P52" s="1"/>
    </row>
    <row r="53" s="47" customFormat="true" ht="13.5" hidden="false" customHeight="false" outlineLevel="0" collapsed="false">
      <c r="A53" s="1"/>
      <c r="B53" s="1"/>
      <c r="C53" s="1"/>
      <c r="G53" s="1"/>
      <c r="K53" s="1"/>
    </row>
    <row r="54" s="47" customFormat="true" ht="13.5" hidden="false" customHeight="false" outlineLevel="0" collapsed="false">
      <c r="A54" s="1"/>
      <c r="B54" s="48" t="s">
        <v>56</v>
      </c>
    </row>
    <row r="55" s="47" customFormat="true" ht="13.5" hidden="false" customHeight="false" outlineLevel="0" collapsed="false">
      <c r="A55" s="1"/>
    </row>
    <row r="56" s="47" customFormat="true" ht="13.5" hidden="false" customHeight="false" outlineLevel="0" collapsed="false">
      <c r="A56" s="1"/>
    </row>
    <row r="57" s="47" customFormat="true" ht="13.5" hidden="false" customHeight="false" outlineLevel="0" collapsed="false">
      <c r="A57" s="1"/>
    </row>
    <row r="58" s="47" customFormat="true" ht="13.5" hidden="false" customHeight="false" outlineLevel="0" collapsed="false">
      <c r="A58" s="1"/>
    </row>
    <row r="59" s="47" customFormat="true" ht="13.5" hidden="false" customHeight="false" outlineLevel="0" collapsed="false">
      <c r="A59" s="1"/>
    </row>
    <row r="60" s="47" customFormat="true" ht="13.5" hidden="false" customHeight="false" outlineLevel="0" collapsed="false">
      <c r="A60" s="1"/>
    </row>
    <row r="61" s="47" customFormat="true" ht="13.5" hidden="false" customHeight="false" outlineLevel="0" collapsed="false">
      <c r="A61" s="1"/>
    </row>
    <row r="62" s="47" customFormat="true" ht="13.5" hidden="false" customHeight="false" outlineLevel="0" collapsed="false">
      <c r="A62" s="1"/>
    </row>
    <row r="63" s="47" customFormat="true" ht="13.5" hidden="false" customHeight="false" outlineLevel="0" collapsed="false">
      <c r="A63" s="1"/>
    </row>
    <row r="64" s="47" customFormat="true" ht="13.5" hidden="false" customHeight="false" outlineLevel="0" collapsed="false">
      <c r="A64" s="1"/>
    </row>
    <row r="65" s="47" customFormat="true" ht="13.5" hidden="false" customHeight="false" outlineLevel="0" collapsed="false">
      <c r="A65" s="1"/>
    </row>
    <row r="66" s="47" customFormat="true" ht="13.5" hidden="false" customHeight="false" outlineLevel="0" collapsed="false">
      <c r="A66" s="1"/>
    </row>
    <row r="67" s="47" customFormat="true" ht="13.5" hidden="false" customHeight="false" outlineLevel="0" collapsed="false">
      <c r="A67" s="1"/>
    </row>
    <row r="68" s="47" customFormat="true" ht="13.5" hidden="false" customHeight="false" outlineLevel="0" collapsed="false">
      <c r="A68" s="1"/>
    </row>
    <row r="69" s="47" customFormat="true" ht="13.5" hidden="false" customHeight="false" outlineLevel="0" collapsed="false">
      <c r="A69" s="1"/>
    </row>
    <row r="70" s="47" customFormat="true" ht="13.5" hidden="false" customHeight="false" outlineLevel="0" collapsed="false">
      <c r="A70" s="1"/>
    </row>
    <row r="71" s="47" customFormat="true" ht="13.5" hidden="false" customHeight="false" outlineLevel="0" collapsed="false">
      <c r="A71" s="1"/>
    </row>
    <row r="72" s="47" customFormat="true" ht="13.5" hidden="false" customHeight="false" outlineLevel="0" collapsed="false">
      <c r="A72" s="1"/>
    </row>
    <row r="73" s="47" customFormat="true" ht="13.5" hidden="false" customHeight="false" outlineLevel="0" collapsed="false">
      <c r="A73" s="1"/>
    </row>
    <row r="74" s="47" customFormat="true" ht="13.5" hidden="false" customHeight="false" outlineLevel="0" collapsed="false">
      <c r="A74" s="1"/>
    </row>
    <row r="75" s="47" customFormat="true" ht="13.5" hidden="false" customHeight="false" outlineLevel="0" collapsed="false">
      <c r="A75" s="1"/>
    </row>
    <row r="76" s="47" customFormat="true" ht="13.5" hidden="false" customHeight="false" outlineLevel="0" collapsed="false">
      <c r="A76" s="1"/>
    </row>
    <row r="77" s="47" customFormat="true" ht="13.5" hidden="false" customHeight="false" outlineLevel="0" collapsed="false">
      <c r="A77" s="1"/>
    </row>
    <row r="78" s="47" customFormat="true" ht="13.5" hidden="false" customHeight="false" outlineLevel="0" collapsed="false">
      <c r="A78" s="1"/>
    </row>
    <row r="79" s="47" customFormat="true" ht="13.5" hidden="false" customHeight="false" outlineLevel="0" collapsed="false">
      <c r="A79" s="1"/>
    </row>
    <row r="80" s="47" customFormat="true" ht="13.5" hidden="false" customHeight="false" outlineLevel="0" collapsed="false">
      <c r="A80" s="1"/>
    </row>
    <row r="81" s="47" customFormat="true" ht="13.5" hidden="false" customHeight="false" outlineLevel="0" collapsed="false">
      <c r="A81" s="1"/>
    </row>
    <row r="82" s="47" customFormat="true" ht="13.5" hidden="false" customHeight="false" outlineLevel="0" collapsed="false">
      <c r="A82" s="1"/>
    </row>
    <row r="83" s="47" customFormat="true" ht="13.5" hidden="false" customHeight="false" outlineLevel="0" collapsed="false">
      <c r="A83" s="1"/>
    </row>
    <row r="84" s="47" customFormat="true" ht="13.5" hidden="false" customHeight="false" outlineLevel="0" collapsed="false">
      <c r="A84" s="1"/>
    </row>
    <row r="85" s="47" customFormat="true" ht="13.5" hidden="false" customHeight="false" outlineLevel="0" collapsed="false">
      <c r="A85" s="1"/>
    </row>
    <row r="86" s="47" customFormat="true" ht="13.5" hidden="false" customHeight="false" outlineLevel="0" collapsed="false">
      <c r="A86" s="1"/>
    </row>
    <row r="87" s="47" customFormat="true" ht="13.5" hidden="false" customHeight="false" outlineLevel="0" collapsed="false">
      <c r="A87" s="1"/>
    </row>
    <row r="88" s="47" customFormat="true" ht="13.5" hidden="false" customHeight="false" outlineLevel="0" collapsed="false">
      <c r="A88" s="1"/>
    </row>
    <row r="89" s="47" customFormat="true" ht="13.5" hidden="false" customHeight="false" outlineLevel="0" collapsed="false">
      <c r="A89" s="1"/>
    </row>
    <row r="90" s="47" customFormat="true" ht="13.5" hidden="false" customHeight="false" outlineLevel="0" collapsed="false">
      <c r="A90" s="1"/>
    </row>
    <row r="91" s="47" customFormat="true" ht="13.5" hidden="false" customHeight="false" outlineLevel="0" collapsed="false">
      <c r="A91" s="1"/>
    </row>
    <row r="92" s="47" customFormat="true" ht="13.5" hidden="false" customHeight="false" outlineLevel="0" collapsed="false">
      <c r="A92" s="1"/>
    </row>
    <row r="93" s="47" customFormat="true" ht="13.5" hidden="false" customHeight="false" outlineLevel="0" collapsed="false">
      <c r="A93" s="1"/>
    </row>
    <row r="94" s="47" customFormat="true" ht="13.5" hidden="false" customHeight="false" outlineLevel="0" collapsed="false">
      <c r="A94" s="1"/>
    </row>
    <row r="95" s="47" customFormat="true" ht="13.5" hidden="false" customHeight="false" outlineLevel="0" collapsed="false">
      <c r="A95" s="1"/>
    </row>
    <row r="96" s="47" customFormat="true" ht="13.5" hidden="false" customHeight="false" outlineLevel="0" collapsed="false">
      <c r="A96" s="1"/>
    </row>
    <row r="97" s="47" customFormat="true" ht="13.5" hidden="false" customHeight="false" outlineLevel="0" collapsed="false">
      <c r="A97" s="1"/>
    </row>
    <row r="98" s="47" customFormat="true" ht="13.5" hidden="false" customHeight="false" outlineLevel="0" collapsed="false">
      <c r="A98" s="1"/>
    </row>
    <row r="99" s="47" customFormat="true" ht="13.5" hidden="false" customHeight="false" outlineLevel="0" collapsed="false">
      <c r="A99" s="1"/>
    </row>
    <row r="100" s="47" customFormat="true" ht="13.5" hidden="false" customHeight="false" outlineLevel="0" collapsed="false">
      <c r="A100" s="1"/>
    </row>
    <row r="101" s="47" customFormat="true" ht="13.5" hidden="false" customHeight="false" outlineLevel="0" collapsed="false">
      <c r="A101" s="1"/>
    </row>
    <row r="102" s="47" customFormat="true" ht="13.5" hidden="false" customHeight="false" outlineLevel="0" collapsed="false">
      <c r="A102" s="1"/>
    </row>
    <row r="103" s="47" customFormat="true" ht="13.5" hidden="false" customHeight="false" outlineLevel="0" collapsed="false">
      <c r="A103" s="1"/>
    </row>
    <row r="104" s="47" customFormat="true" ht="13.5" hidden="false" customHeight="false" outlineLevel="0" collapsed="false">
      <c r="A104" s="1"/>
    </row>
    <row r="105" s="47" customFormat="true" ht="13.5" hidden="false" customHeight="false" outlineLevel="0" collapsed="false">
      <c r="A105" s="1"/>
    </row>
    <row r="106" s="47" customFormat="true" ht="13.5" hidden="false" customHeight="false" outlineLevel="0" collapsed="false">
      <c r="A106" s="1"/>
    </row>
    <row r="107" s="47" customFormat="true" ht="13.5" hidden="false" customHeight="false" outlineLevel="0" collapsed="false">
      <c r="A107" s="1"/>
    </row>
    <row r="108" s="47" customFormat="true" ht="13.5" hidden="false" customHeight="false" outlineLevel="0" collapsed="false">
      <c r="A108" s="1"/>
    </row>
    <row r="109" s="47" customFormat="true" ht="13.5" hidden="false" customHeight="false" outlineLevel="0" collapsed="false">
      <c r="A109" s="1"/>
    </row>
    <row r="110" s="47" customFormat="true" ht="13.5" hidden="false" customHeight="false" outlineLevel="0" collapsed="false">
      <c r="A110" s="1"/>
    </row>
    <row r="111" s="47" customFormat="true" ht="13.5" hidden="false" customHeight="false" outlineLevel="0" collapsed="false">
      <c r="A111" s="1"/>
    </row>
    <row r="112" s="47" customFormat="true" ht="13.5" hidden="false" customHeight="false" outlineLevel="0" collapsed="false">
      <c r="A112" s="1"/>
    </row>
    <row r="113" s="47" customFormat="true" ht="13.5" hidden="false" customHeight="false" outlineLevel="0" collapsed="false">
      <c r="A113" s="1"/>
    </row>
    <row r="114" s="47" customFormat="true" ht="13.5" hidden="false" customHeight="false" outlineLevel="0" collapsed="false">
      <c r="A114" s="1"/>
    </row>
    <row r="115" s="47" customFormat="true" ht="13.5" hidden="false" customHeight="false" outlineLevel="0" collapsed="false">
      <c r="A115" s="1"/>
    </row>
    <row r="116" s="47" customFormat="true" ht="13.5" hidden="false" customHeight="false" outlineLevel="0" collapsed="false">
      <c r="A116" s="1"/>
    </row>
    <row r="117" s="47" customFormat="true" ht="13.5" hidden="false" customHeight="false" outlineLevel="0" collapsed="false">
      <c r="A117" s="1"/>
    </row>
    <row r="118" s="47" customFormat="true" ht="13.5" hidden="false" customHeight="false" outlineLevel="0" collapsed="false">
      <c r="A118" s="1"/>
    </row>
    <row r="119" s="47" customFormat="true" ht="13.5" hidden="false" customHeight="false" outlineLevel="0" collapsed="false">
      <c r="A119" s="1"/>
    </row>
    <row r="120" s="47" customFormat="true" ht="13.5" hidden="false" customHeight="false" outlineLevel="0" collapsed="false">
      <c r="A120" s="1"/>
    </row>
    <row r="121" s="47" customFormat="true" ht="13.5" hidden="false" customHeight="false" outlineLevel="0" collapsed="false">
      <c r="A121" s="1"/>
    </row>
    <row r="122" s="47" customFormat="true" ht="13.5" hidden="false" customHeight="false" outlineLevel="0" collapsed="false">
      <c r="A122" s="1"/>
    </row>
    <row r="123" s="47" customFormat="true" ht="13.5" hidden="false" customHeight="false" outlineLevel="0" collapsed="false">
      <c r="A123" s="1"/>
    </row>
    <row r="124" s="47" customFormat="true" ht="13.5" hidden="false" customHeight="false" outlineLevel="0" collapsed="false">
      <c r="A124" s="1"/>
    </row>
    <row r="125" s="47" customFormat="true" ht="13.5" hidden="false" customHeight="false" outlineLevel="0" collapsed="false">
      <c r="A125" s="1"/>
    </row>
    <row r="126" s="47" customFormat="true" ht="13.5" hidden="false" customHeight="false" outlineLevel="0" collapsed="false">
      <c r="A126" s="1"/>
    </row>
    <row r="127" s="47" customFormat="true" ht="13.5" hidden="false" customHeight="false" outlineLevel="0" collapsed="false">
      <c r="A127" s="1"/>
    </row>
    <row r="128" s="47" customFormat="true" ht="13.5" hidden="false" customHeight="false" outlineLevel="0" collapsed="false">
      <c r="A128" s="1"/>
    </row>
    <row r="129" s="47" customFormat="true" ht="13.5" hidden="false" customHeight="false" outlineLevel="0" collapsed="false">
      <c r="A129" s="1"/>
    </row>
    <row r="130" s="47" customFormat="true" ht="13.5" hidden="false" customHeight="false" outlineLevel="0" collapsed="false">
      <c r="A130" s="1"/>
    </row>
    <row r="131" s="47" customFormat="true" ht="13.5" hidden="false" customHeight="false" outlineLevel="0" collapsed="false">
      <c r="A131" s="1"/>
    </row>
    <row r="132" s="47" customFormat="true" ht="13.5" hidden="false" customHeight="false" outlineLevel="0" collapsed="false">
      <c r="A132" s="1"/>
    </row>
    <row r="133" s="47" customFormat="true" ht="13.5" hidden="false" customHeight="false" outlineLevel="0" collapsed="false">
      <c r="A133" s="1"/>
    </row>
    <row r="134" s="47" customFormat="true" ht="13.5" hidden="false" customHeight="false" outlineLevel="0" collapsed="false">
      <c r="A134" s="1"/>
    </row>
    <row r="135" s="47" customFormat="true" ht="13.5" hidden="false" customHeight="false" outlineLevel="0" collapsed="false">
      <c r="A135" s="1"/>
    </row>
    <row r="136" s="47" customFormat="true" ht="13.5" hidden="false" customHeight="false" outlineLevel="0" collapsed="false">
      <c r="A136" s="1"/>
    </row>
    <row r="137" s="47" customFormat="true" ht="13.5" hidden="false" customHeight="false" outlineLevel="0" collapsed="false">
      <c r="A137" s="1"/>
    </row>
    <row r="138" s="47" customFormat="true" ht="13.5" hidden="false" customHeight="false" outlineLevel="0" collapsed="false">
      <c r="A138" s="1"/>
    </row>
    <row r="139" s="47" customFormat="true" ht="13.5" hidden="false" customHeight="false" outlineLevel="0" collapsed="false">
      <c r="A139" s="1"/>
    </row>
    <row r="140" s="47" customFormat="true" ht="13.5" hidden="false" customHeight="false" outlineLevel="0" collapsed="false">
      <c r="A140" s="1"/>
    </row>
    <row r="141" s="47" customFormat="true" ht="13.5" hidden="false" customHeight="false" outlineLevel="0" collapsed="false">
      <c r="A141" s="1"/>
    </row>
    <row r="142" s="47" customFormat="true" ht="13.5" hidden="false" customHeight="false" outlineLevel="0" collapsed="false">
      <c r="A142" s="1"/>
    </row>
    <row r="143" s="47" customFormat="true" ht="13.5" hidden="false" customHeight="false" outlineLevel="0" collapsed="false">
      <c r="A143" s="1"/>
    </row>
    <row r="144" s="47" customFormat="true" ht="13.5" hidden="false" customHeight="false" outlineLevel="0" collapsed="false">
      <c r="A144" s="1"/>
    </row>
    <row r="145" s="47" customFormat="true" ht="13.5" hidden="false" customHeight="false" outlineLevel="0" collapsed="false">
      <c r="A145" s="1"/>
    </row>
    <row r="146" s="47" customFormat="true" ht="13.5" hidden="false" customHeight="false" outlineLevel="0" collapsed="false">
      <c r="A146" s="1"/>
    </row>
    <row r="147" s="47" customFormat="true" ht="13.5" hidden="false" customHeight="false" outlineLevel="0" collapsed="false">
      <c r="A147" s="1"/>
    </row>
    <row r="148" s="47" customFormat="true" ht="13.5" hidden="false" customHeight="false" outlineLevel="0" collapsed="false">
      <c r="A148" s="1"/>
    </row>
    <row r="149" s="47" customFormat="true" ht="13.5" hidden="false" customHeight="false" outlineLevel="0" collapsed="false">
      <c r="A149" s="1"/>
    </row>
    <row r="150" s="47" customFormat="true" ht="13.5" hidden="false" customHeight="false" outlineLevel="0" collapsed="false">
      <c r="A150" s="1"/>
    </row>
    <row r="151" s="47" customFormat="true" ht="13.5" hidden="false" customHeight="false" outlineLevel="0" collapsed="false">
      <c r="A151" s="1"/>
    </row>
    <row r="152" s="47" customFormat="true" ht="13.5" hidden="false" customHeight="false" outlineLevel="0" collapsed="false">
      <c r="A152" s="1"/>
    </row>
    <row r="153" s="47" customFormat="true" ht="13.5" hidden="false" customHeight="false" outlineLevel="0" collapsed="false">
      <c r="A153" s="1"/>
    </row>
    <row r="154" s="47" customFormat="true" ht="13.5" hidden="false" customHeight="false" outlineLevel="0" collapsed="false">
      <c r="A154" s="1"/>
    </row>
    <row r="155" s="47" customFormat="true" ht="13.5" hidden="false" customHeight="false" outlineLevel="0" collapsed="false">
      <c r="A155" s="1"/>
    </row>
    <row r="156" s="47" customFormat="true" ht="13.5" hidden="false" customHeight="false" outlineLevel="0" collapsed="false">
      <c r="A156" s="1"/>
    </row>
    <row r="157" s="47" customFormat="true" ht="13.5" hidden="false" customHeight="false" outlineLevel="0" collapsed="false">
      <c r="A157" s="1"/>
    </row>
    <row r="158" s="47" customFormat="true" ht="13.5" hidden="false" customHeight="false" outlineLevel="0" collapsed="false">
      <c r="A158" s="1"/>
    </row>
    <row r="159" s="47" customFormat="true" ht="13.5" hidden="false" customHeight="false" outlineLevel="0" collapsed="false">
      <c r="A159" s="1"/>
    </row>
    <row r="160" s="47" customFormat="true" ht="13.5" hidden="false" customHeight="false" outlineLevel="0" collapsed="false">
      <c r="A160" s="1"/>
    </row>
    <row r="161" s="47" customFormat="true" ht="13.5" hidden="false" customHeight="false" outlineLevel="0" collapsed="false">
      <c r="A161" s="1"/>
    </row>
    <row r="162" s="47" customFormat="true" ht="13.5" hidden="false" customHeight="false" outlineLevel="0" collapsed="false">
      <c r="A162" s="1"/>
    </row>
    <row r="163" s="47" customFormat="true" ht="13.5" hidden="false" customHeight="false" outlineLevel="0" collapsed="false">
      <c r="A163" s="1"/>
    </row>
    <row r="164" s="47" customFormat="true" ht="13.5" hidden="false" customHeight="false" outlineLevel="0" collapsed="false">
      <c r="A164" s="1"/>
    </row>
    <row r="165" s="47" customFormat="true" ht="13.5" hidden="false" customHeight="false" outlineLevel="0" collapsed="false">
      <c r="A165" s="1"/>
    </row>
    <row r="166" s="47" customFormat="true" ht="13.5" hidden="false" customHeight="false" outlineLevel="0" collapsed="false">
      <c r="A166" s="1"/>
    </row>
    <row r="167" s="47" customFormat="true" ht="13.5" hidden="false" customHeight="false" outlineLevel="0" collapsed="false">
      <c r="A167" s="1"/>
    </row>
    <row r="168" s="47" customFormat="true" ht="13.5" hidden="false" customHeight="false" outlineLevel="0" collapsed="false">
      <c r="A168" s="1"/>
    </row>
    <row r="169" s="47" customFormat="true" ht="13.5" hidden="false" customHeight="false" outlineLevel="0" collapsed="false">
      <c r="A169" s="1"/>
    </row>
    <row r="170" s="47" customFormat="true" ht="13.5" hidden="false" customHeight="false" outlineLevel="0" collapsed="false">
      <c r="A170" s="1"/>
    </row>
    <row r="171" s="47" customFormat="true" ht="13.5" hidden="false" customHeight="false" outlineLevel="0" collapsed="false">
      <c r="A171" s="1"/>
    </row>
    <row r="172" s="47" customFormat="true" ht="13.5" hidden="false" customHeight="false" outlineLevel="0" collapsed="false">
      <c r="A172" s="1"/>
    </row>
    <row r="173" s="47" customFormat="true" ht="13.5" hidden="false" customHeight="false" outlineLevel="0" collapsed="false">
      <c r="A173" s="1"/>
    </row>
    <row r="174" s="47" customFormat="true" ht="13.5" hidden="false" customHeight="false" outlineLevel="0" collapsed="false">
      <c r="A174" s="1"/>
    </row>
    <row r="175" s="47" customFormat="true" ht="13.5" hidden="false" customHeight="false" outlineLevel="0" collapsed="false">
      <c r="A175" s="1"/>
    </row>
    <row r="176" s="47" customFormat="true" ht="13.5" hidden="false" customHeight="false" outlineLevel="0" collapsed="false">
      <c r="A176" s="1"/>
    </row>
    <row r="177" s="47" customFormat="true" ht="13.5" hidden="false" customHeight="false" outlineLevel="0" collapsed="false">
      <c r="A177" s="1"/>
    </row>
    <row r="178" s="47" customFormat="true" ht="13.5" hidden="false" customHeight="false" outlineLevel="0" collapsed="false">
      <c r="A178" s="1"/>
    </row>
    <row r="179" s="47" customFormat="true" ht="13.5" hidden="false" customHeight="false" outlineLevel="0" collapsed="false">
      <c r="A179" s="1"/>
    </row>
    <row r="180" s="47" customFormat="true" ht="13.5" hidden="false" customHeight="false" outlineLevel="0" collapsed="false">
      <c r="A180" s="1"/>
    </row>
    <row r="181" s="47" customFormat="true" ht="13.5" hidden="false" customHeight="false" outlineLevel="0" collapsed="false">
      <c r="A181" s="1"/>
    </row>
    <row r="182" s="47" customFormat="true" ht="13.5" hidden="false" customHeight="false" outlineLevel="0" collapsed="false">
      <c r="A182" s="1"/>
    </row>
    <row r="183" s="47" customFormat="true" ht="13.5" hidden="false" customHeight="false" outlineLevel="0" collapsed="false">
      <c r="A183" s="1"/>
    </row>
    <row r="184" s="47" customFormat="true" ht="13.5" hidden="false" customHeight="false" outlineLevel="0" collapsed="false">
      <c r="A184" s="1"/>
    </row>
    <row r="185" s="47" customFormat="true" ht="13.5" hidden="false" customHeight="false" outlineLevel="0" collapsed="false">
      <c r="A185" s="1"/>
    </row>
    <row r="186" s="47" customFormat="true" ht="13.5" hidden="false" customHeight="false" outlineLevel="0" collapsed="false">
      <c r="A186" s="1"/>
    </row>
    <row r="187" s="47" customFormat="true" ht="13.5" hidden="false" customHeight="false" outlineLevel="0" collapsed="false">
      <c r="A187" s="1"/>
    </row>
    <row r="188" s="47" customFormat="true" ht="13.5" hidden="false" customHeight="false" outlineLevel="0" collapsed="false">
      <c r="A188" s="1"/>
    </row>
    <row r="189" s="47" customFormat="true" ht="13.5" hidden="false" customHeight="false" outlineLevel="0" collapsed="false">
      <c r="A189" s="1"/>
    </row>
    <row r="190" s="47" customFormat="true" ht="13.5" hidden="false" customHeight="false" outlineLevel="0" collapsed="false">
      <c r="A190" s="1"/>
    </row>
    <row r="191" s="47" customFormat="true" ht="13.5" hidden="false" customHeight="false" outlineLevel="0" collapsed="false">
      <c r="A191" s="1"/>
    </row>
    <row r="192" s="47" customFormat="true" ht="13.5" hidden="false" customHeight="false" outlineLevel="0" collapsed="false">
      <c r="A192" s="1"/>
    </row>
    <row r="193" s="47" customFormat="true" ht="13.5" hidden="false" customHeight="false" outlineLevel="0" collapsed="false">
      <c r="A193" s="1"/>
    </row>
    <row r="194" s="47" customFormat="true" ht="13.5" hidden="false" customHeight="false" outlineLevel="0" collapsed="false">
      <c r="A194" s="1"/>
    </row>
    <row r="195" s="47" customFormat="true" ht="13.5" hidden="false" customHeight="false" outlineLevel="0" collapsed="false">
      <c r="A195" s="1"/>
    </row>
    <row r="196" s="47" customFormat="true" ht="13.5" hidden="false" customHeight="false" outlineLevel="0" collapsed="false">
      <c r="A196" s="1"/>
    </row>
    <row r="197" s="47" customFormat="true" ht="13.5" hidden="false" customHeight="false" outlineLevel="0" collapsed="false">
      <c r="A197" s="1"/>
    </row>
    <row r="198" s="47" customFormat="true" ht="13.5" hidden="false" customHeight="false" outlineLevel="0" collapsed="false">
      <c r="A198" s="1"/>
    </row>
    <row r="199" s="47" customFormat="true" ht="13.5" hidden="false" customHeight="false" outlineLevel="0" collapsed="false">
      <c r="A199" s="1"/>
    </row>
    <row r="200" s="47" customFormat="true" ht="13.5" hidden="false" customHeight="false" outlineLevel="0" collapsed="false">
      <c r="A200" s="1"/>
    </row>
    <row r="201" s="47" customFormat="true" ht="13.5" hidden="false" customHeight="false" outlineLevel="0" collapsed="false">
      <c r="A201" s="1"/>
    </row>
    <row r="202" s="47" customFormat="true" ht="13.5" hidden="false" customHeight="false" outlineLevel="0" collapsed="false">
      <c r="A202" s="1"/>
    </row>
    <row r="203" s="47" customFormat="true" ht="13.5" hidden="false" customHeight="false" outlineLevel="0" collapsed="false">
      <c r="A203" s="1"/>
    </row>
    <row r="204" s="47" customFormat="true" ht="13.5" hidden="false" customHeight="false" outlineLevel="0" collapsed="false">
      <c r="A204" s="1"/>
    </row>
    <row r="205" s="47" customFormat="true" ht="13.5" hidden="false" customHeight="false" outlineLevel="0" collapsed="false">
      <c r="A205" s="1"/>
    </row>
    <row r="206" s="47" customFormat="true" ht="13.5" hidden="false" customHeight="false" outlineLevel="0" collapsed="false">
      <c r="A206" s="1"/>
    </row>
    <row r="207" s="47" customFormat="true" ht="13.5" hidden="false" customHeight="false" outlineLevel="0" collapsed="false">
      <c r="A207" s="1"/>
    </row>
    <row r="208" s="47" customFormat="true" ht="13.5" hidden="false" customHeight="false" outlineLevel="0" collapsed="false">
      <c r="A208" s="1"/>
    </row>
    <row r="209" s="47" customFormat="true" ht="13.5" hidden="false" customHeight="false" outlineLevel="0" collapsed="false">
      <c r="A209" s="1"/>
    </row>
    <row r="210" s="47" customFormat="true" ht="13.5" hidden="false" customHeight="false" outlineLevel="0" collapsed="false">
      <c r="A210" s="1"/>
    </row>
    <row r="211" s="47" customFormat="true" ht="13.5" hidden="false" customHeight="false" outlineLevel="0" collapsed="false">
      <c r="A211" s="1"/>
    </row>
    <row r="212" s="47" customFormat="true" ht="13.5" hidden="false" customHeight="false" outlineLevel="0" collapsed="false">
      <c r="A212" s="1"/>
    </row>
    <row r="213" s="47" customFormat="true" ht="13.5" hidden="false" customHeight="false" outlineLevel="0" collapsed="false">
      <c r="A213" s="1"/>
    </row>
    <row r="214" s="47" customFormat="true" ht="13.5" hidden="false" customHeight="false" outlineLevel="0" collapsed="false">
      <c r="A214" s="1"/>
    </row>
    <row r="215" s="47" customFormat="true" ht="13.5" hidden="false" customHeight="false" outlineLevel="0" collapsed="false">
      <c r="A215" s="1"/>
    </row>
    <row r="216" s="47" customFormat="true" ht="13.5" hidden="false" customHeight="false" outlineLevel="0" collapsed="false">
      <c r="A216" s="1"/>
    </row>
    <row r="217" s="47" customFormat="true" ht="13.5" hidden="false" customHeight="false" outlineLevel="0" collapsed="false">
      <c r="A217" s="1"/>
    </row>
    <row r="218" s="47" customFormat="true" ht="13.5" hidden="false" customHeight="false" outlineLevel="0" collapsed="false">
      <c r="A218" s="1"/>
    </row>
    <row r="219" s="47" customFormat="true" ht="13.5" hidden="false" customHeight="false" outlineLevel="0" collapsed="false">
      <c r="A219" s="1"/>
    </row>
    <row r="220" s="47" customFormat="true" ht="13.5" hidden="false" customHeight="false" outlineLevel="0" collapsed="false">
      <c r="A220" s="1"/>
    </row>
    <row r="221" s="47" customFormat="true" ht="13.5" hidden="false" customHeight="false" outlineLevel="0" collapsed="false">
      <c r="A221" s="1"/>
    </row>
    <row r="222" s="47" customFormat="true" ht="13.5" hidden="false" customHeight="false" outlineLevel="0" collapsed="false">
      <c r="A222" s="1"/>
    </row>
    <row r="223" s="47" customFormat="true" ht="13.5" hidden="false" customHeight="false" outlineLevel="0" collapsed="false">
      <c r="A223" s="1"/>
    </row>
    <row r="224" s="47" customFormat="true" ht="13.5" hidden="false" customHeight="false" outlineLevel="0" collapsed="false">
      <c r="A224" s="1"/>
    </row>
    <row r="225" s="47" customFormat="true" ht="13.5" hidden="false" customHeight="false" outlineLevel="0" collapsed="false">
      <c r="A225" s="1"/>
    </row>
    <row r="226" s="47" customFormat="true" ht="13.5" hidden="false" customHeight="false" outlineLevel="0" collapsed="false">
      <c r="A226" s="1"/>
    </row>
    <row r="227" s="47" customFormat="true" ht="13.5" hidden="false" customHeight="false" outlineLevel="0" collapsed="false">
      <c r="A227" s="1"/>
    </row>
    <row r="228" s="47" customFormat="true" ht="13.5" hidden="false" customHeight="false" outlineLevel="0" collapsed="false">
      <c r="A228" s="1"/>
    </row>
    <row r="229" s="47" customFormat="true" ht="13.5" hidden="false" customHeight="false" outlineLevel="0" collapsed="false">
      <c r="A229" s="1"/>
    </row>
    <row r="230" s="47" customFormat="true" ht="13.5" hidden="false" customHeight="false" outlineLevel="0" collapsed="false">
      <c r="A230" s="1"/>
    </row>
    <row r="231" s="47" customFormat="true" ht="13.5" hidden="false" customHeight="false" outlineLevel="0" collapsed="false">
      <c r="A231" s="1"/>
    </row>
    <row r="232" s="47" customFormat="true" ht="13.5" hidden="false" customHeight="false" outlineLevel="0" collapsed="false">
      <c r="A232" s="1"/>
    </row>
    <row r="233" s="47" customFormat="true" ht="13.5" hidden="false" customHeight="false" outlineLevel="0" collapsed="false">
      <c r="A233" s="1"/>
    </row>
    <row r="234" s="47" customFormat="true" ht="13.5" hidden="false" customHeight="false" outlineLevel="0" collapsed="false">
      <c r="A234" s="1"/>
    </row>
  </sheetData>
  <mergeCells count="8">
    <mergeCell ref="A1:K1"/>
    <mergeCell ref="A2:A4"/>
    <mergeCell ref="B2:B4"/>
    <mergeCell ref="C2:C4"/>
    <mergeCell ref="G2:G4"/>
    <mergeCell ref="K2:K4"/>
    <mergeCell ref="D3:F3"/>
    <mergeCell ref="H3:J3"/>
  </mergeCells>
  <printOptions headings="false" gridLines="false" gridLinesSet="true" horizontalCentered="true" verticalCentered="true"/>
  <pageMargins left="0.39375" right="0.39375" top="0.590277777777778" bottom="0.59027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2004-11-26T11:40:27Z</dcterms:created>
  <dc:creator>総務省</dc:creator>
  <dc:description/>
  <dc:language>en-US</dc:language>
  <cp:lastModifiedBy>総務省</cp:lastModifiedBy>
  <cp:lastPrinted>2013-12-19T10:42:13Z</cp:lastPrinted>
  <dcterms:modified xsi:type="dcterms:W3CDTF">2014-03-31T11:03:48Z</dcterms:modified>
  <cp:revision>0</cp:revision>
  <dc:subject/>
  <dc:title/>
</cp:coreProperties>
</file>